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urvahconsulting-my.sharepoint.com/personal/srk_durvah_com/Documents/From G Suite Drive/USME/"/>
    </mc:Choice>
  </mc:AlternateContent>
  <xr:revisionPtr revIDLastSave="3" documentId="8_{A4A1379C-DDB5-419F-9602-24F0AC017338}" xr6:coauthVersionLast="47" xr6:coauthVersionMax="47" xr10:uidLastSave="{926035C5-040E-4D71-B22E-7F18FEDB9D1B}"/>
  <bookViews>
    <workbookView xWindow="-98" yWindow="-98" windowWidth="21795" windowHeight="12975" xr2:uid="{8E6DC071-7013-4FEF-BA8B-4BEF28F225DB}"/>
  </bookViews>
  <sheets>
    <sheet name="Build"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4" i="3" l="1"/>
  <c r="I7" i="3"/>
  <c r="I6" i="3"/>
  <c r="I3" i="3"/>
  <c r="I2" i="3"/>
  <c r="I10" i="3" l="1"/>
  <c r="I11" i="3" s="1"/>
  <c r="I12" i="3" s="1"/>
  <c r="I13" i="3" s="1"/>
</calcChain>
</file>

<file path=xl/sharedStrings.xml><?xml version="1.0" encoding="utf-8"?>
<sst xmlns="http://schemas.openxmlformats.org/spreadsheetml/2006/main" count="33" uniqueCount="33">
  <si>
    <t>Requirement</t>
  </si>
  <si>
    <t>Design</t>
  </si>
  <si>
    <t>Build</t>
  </si>
  <si>
    <t>Testing</t>
  </si>
  <si>
    <t>Portal Setup</t>
  </si>
  <si>
    <t>Design portal structure, page navigation, security access and user experience</t>
  </si>
  <si>
    <t>Tokenization &amp; GT Integration</t>
  </si>
  <si>
    <t>Design system integration, data flow and invoice process</t>
  </si>
  <si>
    <t>Blanket PO</t>
  </si>
  <si>
    <t>Design Blanket PO process and required changes</t>
  </si>
  <si>
    <t>Data Cleanup Support</t>
  </si>
  <si>
    <t>Prepare data migration and cleansing approach</t>
  </si>
  <si>
    <t>Salesforce Shield</t>
  </si>
  <si>
    <t>Design encryption and audit tracking approach</t>
  </si>
  <si>
    <t>Review and validate solution architecture</t>
  </si>
  <si>
    <t>Sl</t>
  </si>
  <si>
    <t>Activities</t>
  </si>
  <si>
    <t>Efforts in Days</t>
  </si>
  <si>
    <t>Description</t>
  </si>
  <si>
    <t>Total Days</t>
  </si>
  <si>
    <t>Deployment</t>
  </si>
  <si>
    <t>Design portal structure
Customer Portal pages and branding Configuration
Configure Page navigation
Configure security access and user experience
Set up Experience Cloud portal
configure users 
Setup permissions
Test user access
Portal functions and business scenarios Testing
Go-live deployment
Hyper Care Support</t>
  </si>
  <si>
    <t>Design system integration 
Data flow 
Invoice process
Configuring Salesforce system
Synching with GT system
Configuring workato
Capturing the failures 
Implimenting error handling 
Reprocessing the data
Test end-to-end integration 
Invoice accuracy
Deploy integrations 
Monitor transactions</t>
  </si>
  <si>
    <t>Clean, transform and prepare data for migration
Validate migrated data 
Reconcile records
Support migration cutover activities</t>
  </si>
  <si>
    <t>Configure Shield features and security settings
Perform security and compliance testing
Enable in production environment</t>
  </si>
  <si>
    <t>Address design recommendations and updates
Validate solution with stakeholders
Support release readiness</t>
  </si>
  <si>
    <t>Ascent Rental Configuration Support</t>
  </si>
  <si>
    <t>Data Migration Activities</t>
  </si>
  <si>
    <t>Data Collections
Template Prepration
Data Mapping
Build Data Upload Utilities
Upload and Validate in sandboxe
Upload to Production</t>
  </si>
  <si>
    <t>BAA requirements alignment from Salesforce</t>
  </si>
  <si>
    <t xml:space="preserve">PM </t>
  </si>
  <si>
    <t>Total Amount</t>
  </si>
  <si>
    <t xml:space="preserve">Design Blanket PO process and required changes
Create PO
Linking and Tacking PO
PO Balance
Workflows
Schedule job implimentation
Validate business scenarios and fix issues
Deploy and support users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</si>
</sst>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1"/>
      <color rgb="FF000000"/>
      <name val="Calibri"/>
      <family val="2"/>
    </font>
    <font>
      <sz val="10"/>
      <color rgb="FF000000"/>
      <name val="Aptos Narrow"/>
      <scheme val="minor"/>
    </font>
    <font>
      <sz val="10"/>
      <color rgb="FF000000"/>
      <name val="Aptos Narrow"/>
      <family val="2"/>
      <scheme val="minor"/>
    </font>
    <font>
      <b/>
      <sz val="11"/>
      <color theme="1"/>
      <name val="Calibri"/>
      <family val="2"/>
    </font>
  </fonts>
  <fills count="4">
    <fill>
      <patternFill patternType="none"/>
    </fill>
    <fill>
      <patternFill patternType="gray125"/>
    </fill>
    <fill>
      <patternFill patternType="solid">
        <fgColor rgb="FFA4C2F4"/>
        <bgColor rgb="FFA4C2F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3" fillId="0" borderId="0"/>
    <xf numFmtId="0" fontId="4" fillId="0" borderId="0"/>
  </cellStyleXfs>
  <cellXfs count="12">
    <xf numFmtId="0" fontId="0" fillId="0" borderId="0" xfId="0"/>
    <xf numFmtId="0" fontId="1" fillId="0" borderId="0" xfId="0" applyFont="1"/>
    <xf numFmtId="0" fontId="0" fillId="0" borderId="0" xfId="0" applyAlignment="1">
      <alignment horizontal="center"/>
    </xf>
    <xf numFmtId="0" fontId="5" fillId="2" borderId="1" xfId="2" applyFont="1" applyFill="1" applyBorder="1" applyAlignment="1">
      <alignment horizontal="center"/>
    </xf>
    <xf numFmtId="0" fontId="5" fillId="2" borderId="1" xfId="2" applyFont="1" applyFill="1" applyBorder="1" applyAlignment="1">
      <alignment horizontal="left"/>
    </xf>
    <xf numFmtId="0" fontId="0" fillId="0" borderId="1" xfId="0" applyBorder="1" applyAlignment="1">
      <alignment horizontal="center"/>
    </xf>
    <xf numFmtId="0" fontId="2" fillId="0" borderId="1" xfId="0" applyFont="1" applyBorder="1" applyAlignment="1">
      <alignment vertical="top" wrapText="1"/>
    </xf>
    <xf numFmtId="0" fontId="1" fillId="0" borderId="1" xfId="0" applyFont="1" applyBorder="1" applyAlignment="1">
      <alignment horizontal="center"/>
    </xf>
    <xf numFmtId="0" fontId="2" fillId="0" borderId="1" xfId="0" applyFont="1" applyBorder="1" applyAlignment="1">
      <alignment horizontal="center" wrapText="1"/>
    </xf>
    <xf numFmtId="0" fontId="2" fillId="0" borderId="1" xfId="0" applyFont="1" applyBorder="1" applyAlignment="1">
      <alignment horizontal="center" wrapText="1"/>
    </xf>
    <xf numFmtId="0" fontId="1" fillId="3" borderId="1" xfId="0" applyFont="1" applyFill="1" applyBorder="1" applyAlignment="1">
      <alignment horizontal="center"/>
    </xf>
    <xf numFmtId="0" fontId="1" fillId="0" borderId="0" xfId="0" applyFont="1" applyAlignment="1">
      <alignment horizontal="center"/>
    </xf>
  </cellXfs>
  <cellStyles count="3">
    <cellStyle name="Normal" xfId="0" builtinId="0"/>
    <cellStyle name="Normal 2" xfId="1" xr:uid="{6483498D-0E02-4C64-BDF5-9CC72C12EA8D}"/>
    <cellStyle name="Normal 3" xfId="2" xr:uid="{5D243CC9-3DE1-49E4-8BAE-C44EF355015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72087-9D07-4A05-B243-2BC12D4C227B}">
  <dimension ref="A1:I13"/>
  <sheetViews>
    <sheetView tabSelected="1" topLeftCell="D5" zoomScale="115" zoomScaleNormal="115" workbookViewId="0">
      <selection activeCell="I6" sqref="I6"/>
    </sheetView>
  </sheetViews>
  <sheetFormatPr defaultRowHeight="14.25" x14ac:dyDescent="0.45"/>
  <cols>
    <col min="1" max="1" width="6.59765625" style="2" customWidth="1"/>
    <col min="2" max="2" width="32" customWidth="1"/>
    <col min="3" max="4" width="46.265625" customWidth="1"/>
    <col min="5" max="5" width="6.19921875" bestFit="1" customWidth="1"/>
    <col min="6" max="8" width="17.59765625" customWidth="1"/>
    <col min="9" max="9" width="14.73046875" style="2" bestFit="1" customWidth="1"/>
  </cols>
  <sheetData>
    <row r="1" spans="1:9" s="1" customFormat="1" x14ac:dyDescent="0.45">
      <c r="A1" s="3" t="s">
        <v>15</v>
      </c>
      <c r="B1" s="4" t="s">
        <v>0</v>
      </c>
      <c r="C1" s="3" t="s">
        <v>18</v>
      </c>
      <c r="D1" s="3" t="s">
        <v>16</v>
      </c>
      <c r="E1" s="3" t="s">
        <v>1</v>
      </c>
      <c r="F1" s="3" t="s">
        <v>2</v>
      </c>
      <c r="G1" s="3" t="s">
        <v>3</v>
      </c>
      <c r="H1" s="3" t="s">
        <v>20</v>
      </c>
      <c r="I1" s="3" t="s">
        <v>17</v>
      </c>
    </row>
    <row r="2" spans="1:9" ht="156.75" x14ac:dyDescent="0.45">
      <c r="A2" s="5">
        <v>1</v>
      </c>
      <c r="B2" s="6" t="s">
        <v>4</v>
      </c>
      <c r="C2" s="6" t="s">
        <v>5</v>
      </c>
      <c r="D2" s="6" t="s">
        <v>21</v>
      </c>
      <c r="E2" s="8">
        <v>3</v>
      </c>
      <c r="F2" s="8">
        <v>40</v>
      </c>
      <c r="G2" s="8">
        <v>5</v>
      </c>
      <c r="H2" s="8">
        <v>5</v>
      </c>
      <c r="I2" s="5">
        <f>SUM(E2:H2)</f>
        <v>53</v>
      </c>
    </row>
    <row r="3" spans="1:9" ht="185.25" x14ac:dyDescent="0.45">
      <c r="A3" s="5">
        <v>2</v>
      </c>
      <c r="B3" s="6" t="s">
        <v>6</v>
      </c>
      <c r="C3" s="6" t="s">
        <v>7</v>
      </c>
      <c r="D3" s="6" t="s">
        <v>22</v>
      </c>
      <c r="E3" s="8">
        <v>5</v>
      </c>
      <c r="F3" s="8">
        <v>25</v>
      </c>
      <c r="G3" s="8">
        <v>10</v>
      </c>
      <c r="H3" s="8">
        <v>5</v>
      </c>
      <c r="I3" s="5">
        <f>SUM(E3:H3)</f>
        <v>45</v>
      </c>
    </row>
    <row r="4" spans="1:9" ht="128.25" x14ac:dyDescent="0.45">
      <c r="A4" s="5">
        <v>3</v>
      </c>
      <c r="B4" s="6" t="s">
        <v>8</v>
      </c>
      <c r="C4" s="6" t="s">
        <v>9</v>
      </c>
      <c r="D4" s="6" t="s">
        <v>32</v>
      </c>
      <c r="E4" s="8">
        <v>5</v>
      </c>
      <c r="F4" s="8">
        <v>60</v>
      </c>
      <c r="G4" s="8">
        <v>12</v>
      </c>
      <c r="H4" s="8">
        <v>5</v>
      </c>
      <c r="I4" s="5">
        <f>SUM(E4:H4)</f>
        <v>82</v>
      </c>
    </row>
    <row r="5" spans="1:9" ht="57" x14ac:dyDescent="0.45">
      <c r="A5" s="5">
        <v>4</v>
      </c>
      <c r="B5" s="6" t="s">
        <v>10</v>
      </c>
      <c r="C5" s="6" t="s">
        <v>11</v>
      </c>
      <c r="D5" s="6" t="s">
        <v>23</v>
      </c>
      <c r="E5" s="9">
        <v>20</v>
      </c>
      <c r="F5" s="9"/>
      <c r="G5" s="9"/>
      <c r="H5" s="9"/>
      <c r="I5" s="5">
        <v>20</v>
      </c>
    </row>
    <row r="6" spans="1:9" ht="42.75" x14ac:dyDescent="0.45">
      <c r="A6" s="5">
        <v>5</v>
      </c>
      <c r="B6" s="6" t="s">
        <v>12</v>
      </c>
      <c r="C6" s="6" t="s">
        <v>13</v>
      </c>
      <c r="D6" s="6" t="s">
        <v>24</v>
      </c>
      <c r="E6" s="8">
        <v>5</v>
      </c>
      <c r="F6" s="8">
        <v>20</v>
      </c>
      <c r="G6" s="8">
        <v>10</v>
      </c>
      <c r="H6" s="8">
        <v>5</v>
      </c>
      <c r="I6" s="5">
        <f>SUM(E6:H6)</f>
        <v>40</v>
      </c>
    </row>
    <row r="7" spans="1:9" ht="42.75" x14ac:dyDescent="0.45">
      <c r="A7" s="5">
        <v>6</v>
      </c>
      <c r="B7" s="6" t="s">
        <v>26</v>
      </c>
      <c r="C7" s="6" t="s">
        <v>14</v>
      </c>
      <c r="D7" s="6" t="s">
        <v>25</v>
      </c>
      <c r="E7" s="8"/>
      <c r="F7" s="8">
        <v>30</v>
      </c>
      <c r="G7" s="8">
        <v>5</v>
      </c>
      <c r="H7" s="8">
        <v>5</v>
      </c>
      <c r="I7" s="5">
        <f>SUM(E7:H7)</f>
        <v>40</v>
      </c>
    </row>
    <row r="8" spans="1:9" ht="85.5" x14ac:dyDescent="0.45">
      <c r="A8" s="5">
        <v>7</v>
      </c>
      <c r="B8" s="6" t="s">
        <v>27</v>
      </c>
      <c r="C8" s="6"/>
      <c r="D8" s="6" t="s">
        <v>28</v>
      </c>
      <c r="E8" s="8"/>
      <c r="F8" s="8">
        <v>40</v>
      </c>
      <c r="G8" s="8"/>
      <c r="H8" s="8"/>
      <c r="I8" s="5">
        <v>40</v>
      </c>
    </row>
    <row r="9" spans="1:9" x14ac:dyDescent="0.45">
      <c r="A9" s="5">
        <v>8</v>
      </c>
      <c r="B9" t="s">
        <v>29</v>
      </c>
      <c r="C9" s="6"/>
      <c r="D9" s="6"/>
      <c r="E9" s="8"/>
      <c r="F9" s="8"/>
      <c r="G9" s="8"/>
      <c r="H9" s="8"/>
      <c r="I9" s="5"/>
    </row>
    <row r="10" spans="1:9" x14ac:dyDescent="0.45">
      <c r="A10" s="10" t="s">
        <v>19</v>
      </c>
      <c r="B10" s="10"/>
      <c r="C10" s="10"/>
      <c r="D10" s="10"/>
      <c r="E10" s="10"/>
      <c r="F10" s="10"/>
      <c r="G10" s="10"/>
      <c r="H10" s="10"/>
      <c r="I10" s="7">
        <f>SUM(I2:I8)</f>
        <v>320</v>
      </c>
    </row>
    <row r="11" spans="1:9" x14ac:dyDescent="0.45">
      <c r="H11" s="1" t="s">
        <v>30</v>
      </c>
      <c r="I11" s="2">
        <f>I10*10%</f>
        <v>32</v>
      </c>
    </row>
    <row r="12" spans="1:9" x14ac:dyDescent="0.45">
      <c r="I12" s="11">
        <f>SUM(I10:I11)</f>
        <v>352</v>
      </c>
    </row>
    <row r="13" spans="1:9" x14ac:dyDescent="0.45">
      <c r="H13" s="1" t="s">
        <v>31</v>
      </c>
      <c r="I13" s="11">
        <f>I12*250</f>
        <v>88000</v>
      </c>
    </row>
  </sheetData>
  <mergeCells count="2">
    <mergeCell ref="E5:H5"/>
    <mergeCell ref="A10:H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Build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Durvah IT Consulting Pvt Ltd.,</dc:creator>
  <cp:lastModifiedBy>Srinivas</cp:lastModifiedBy>
  <dcterms:created xsi:type="dcterms:W3CDTF">2026-09-03T08:55:58Z</dcterms:created>
  <dcterms:modified xsi:type="dcterms:W3CDTF">2026-09-03T15:30:54Z</dcterms:modified>
</cp:coreProperties>
</file>