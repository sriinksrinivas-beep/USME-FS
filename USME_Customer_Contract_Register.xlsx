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ntract Register" sheetId="2" state="visible" r:id="rId4"/>
    <sheet name="Action Watchlist" sheetId="3" state="visible" r:id="rId5"/>
    <sheet name="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<sst xmlns="http://schemas.openxmlformats.org/spreadsheetml/2006/main" count="8855" uniqueCount="3189">
  <si>
    <t xml:space="preserve">USME Customer Contract Register - Summary</t>
  </si>
  <si>
    <t xml:space="preserve">As-of date (edit to roll forward)</t>
  </si>
  <si>
    <t xml:space="preserve">Documents reviewed</t>
  </si>
  <si>
    <t xml:space="preserve">Documents by status</t>
  </si>
  <si>
    <t xml:space="preserve">Active</t>
  </si>
  <si>
    <t xml:space="preserve">Likely Active - verify</t>
  </si>
  <si>
    <t xml:space="preserve">Unclear - verify</t>
  </si>
  <si>
    <t xml:space="preserve">Expired</t>
  </si>
  <si>
    <t xml:space="preserve">Reference/Superseded</t>
  </si>
  <si>
    <t xml:space="preserve">Active / likely-active documents expiring</t>
  </si>
  <si>
    <t xml:space="preserve">Past stated expiry, no auto-renew projection (holdover / verify)</t>
  </si>
  <si>
    <t xml:space="preserve">Within 90 days</t>
  </si>
  <si>
    <t xml:space="preserve">91-180 days</t>
  </si>
  <si>
    <t xml:space="preserve">181-365 days</t>
  </si>
  <si>
    <t xml:space="preserve">Beyond 12 months</t>
  </si>
  <si>
    <t xml:space="preserve">No determinable expiry date</t>
  </si>
  <si>
    <t xml:space="preserve">Documents by type (all)</t>
  </si>
  <si>
    <t xml:space="preserve">Amendment</t>
  </si>
  <si>
    <t xml:space="preserve">Extension</t>
  </si>
  <si>
    <t xml:space="preserve">GPO Agreement</t>
  </si>
  <si>
    <t xml:space="preserve">GPO Letter of Participation/SIP</t>
  </si>
  <si>
    <t xml:space="preserve">Master/Rental Agreement</t>
  </si>
  <si>
    <t xml:space="preserve">Notice/Other</t>
  </si>
  <si>
    <t xml:space="preserve">Pricing Exhibit</t>
  </si>
  <si>
    <t xml:space="preserve">Purchase/Sale Agreement</t>
  </si>
  <si>
    <t xml:space="preserve">Rebate Agreement</t>
  </si>
  <si>
    <t xml:space="preserve">Service Agreement/SOW</t>
  </si>
  <si>
    <t xml:space="preserve">Data quality</t>
  </si>
  <si>
    <t xml:space="preserve">Confidence: High</t>
  </si>
  <si>
    <t xml:space="preserve">Confidence: Medium</t>
  </si>
  <si>
    <t xml:space="preserve">Confidence: Low</t>
  </si>
  <si>
    <t xml:space="preserve">Read via OCR (scanned PDFs)</t>
  </si>
  <si>
    <t xml:space="preserve">Customer Group</t>
  </si>
  <si>
    <t xml:space="preserve">Counterparty (as written)</t>
  </si>
  <si>
    <t xml:space="preserve">Folder</t>
  </si>
  <si>
    <t xml:space="preserve">File Name</t>
  </si>
  <si>
    <t xml:space="preserve">Doc Type</t>
  </si>
  <si>
    <t xml:space="preserve">Service Lines</t>
  </si>
  <si>
    <t xml:space="preserve">GPO / Contract #</t>
  </si>
  <si>
    <t xml:space="preserve">USME Entity</t>
  </si>
  <si>
    <t xml:space="preserve">Effective Date</t>
  </si>
  <si>
    <t xml:space="preserve">Expiration (as stated)</t>
  </si>
  <si>
    <t xml:space="preserve">Expiration Date</t>
  </si>
  <si>
    <t xml:space="preserve">Exp. Date Source</t>
  </si>
  <si>
    <t xml:space="preserve">Projected Term End (auto-renew roll-fwd)</t>
  </si>
  <si>
    <t xml:space="preserve">Days to Expiry</t>
  </si>
  <si>
    <t xml:space="preserve">Status</t>
  </si>
  <si>
    <t xml:space="preserve">Initial Term</t>
  </si>
  <si>
    <t xml:space="preserve">Renewal</t>
  </si>
  <si>
    <t xml:space="preserve">Termination</t>
  </si>
  <si>
    <t xml:space="preserve">Pricing Basis</t>
  </si>
  <si>
    <t xml:space="preserve">Price Increase / Escalator</t>
  </si>
  <si>
    <t xml:space="preserve">Rebate / Admin Fee</t>
  </si>
  <si>
    <t xml:space="preserve">Commitment / Exclusivity</t>
  </si>
  <si>
    <t xml:space="preserve">Payment Terms</t>
  </si>
  <si>
    <t xml:space="preserve">Liability / Risk Terms</t>
  </si>
  <si>
    <t xml:space="preserve">Key Notes</t>
  </si>
  <si>
    <t xml:space="preserve">Confidence</t>
  </si>
  <si>
    <t xml:space="preserve">Text Source</t>
  </si>
  <si>
    <t xml:space="preserve">Advantus Health Partners (Bon Secours Mercy)</t>
  </si>
  <si>
    <t xml:space="preserve">Advantage Health Partners LLC d/b/a Advantus Health Partners (on behalf of AHP and its Buyers)</t>
  </si>
  <si>
    <t xml:space="preserve">Advantus</t>
  </si>
  <si>
    <t xml:space="preserve">Advantus HP MME_BTS Exp 6.30.28_auto.pdf</t>
  </si>
  <si>
    <t xml:space="preserve">MME Rental, BTS Rental</t>
  </si>
  <si>
    <t xml:space="preserve">Advantus AHP-MM-0034</t>
  </si>
  <si>
    <t xml:space="preserve">US Med-Equip, LLC</t>
  </si>
  <si>
    <t xml:space="preserve">2025-04-14</t>
  </si>
  <si>
    <t xml:space="preserve">2028-04-13</t>
  </si>
  <si>
    <t xml:space="preserve">Contract text</t>
  </si>
  <si>
    <t xml:space="preserve">3 years</t>
  </si>
  <si>
    <t xml:space="preserve">Auto-renews 1-yr terms until terminated</t>
  </si>
  <si>
    <t xml:space="preserve">Either party (Vendor or AHP), 90 days written notice, without penalty; every LOP must allow mutual 90-day no-cause termination; vendor must give 90-day transition</t>
  </si>
  <si>
    <t xml:space="preserve">Exhibit B (MME) and B-1 (BTS) daily rates; two tiers: Tier 1 Access (no commitment) and Tier 2 Provider 90%</t>
  </si>
  <si>
    <t xml:space="preserve">Fixed for initial 3 years; thereafter vendor may modify B-1 pricing not more than once annually with documentation via written amendment</t>
  </si>
  <si>
    <t xml:space="preserve">AHP administrative fee 3% of aggregate purchases; any rebates paid directly to Buyers; Value Add per Exhibit D</t>
  </si>
  <si>
    <t xml:space="preserve">Tier 2 requires 90% rental spend commitment, USME primary vendor, business line reviews; 60-day notice/cure before tier reduction</t>
  </si>
  <si>
    <t xml:space="preserve">Net 30 from receipt of uncontested invoice, electronic; Buyers pay no late penalties or interest</t>
  </si>
  <si>
    <t xml:space="preserve">AHP Exhibit A terms control; Buyers are third-party beneficiaries; mutual consequential damages exclusion; assignment needs consent; audit (vendor pays if &gt;5% under/overcharge); auto liability $1M</t>
  </si>
  <si>
    <t xml:space="preserve">AHP is BSMH-affiliated GPO; covers MME and BTS for participating facilities via LOP. Filename says Exp 6/30/28 but text gives 3-year term from 4/14/2025 (~4/13/2028) with auto-renewal.</t>
  </si>
  <si>
    <t xml:space="preserve">High</t>
  </si>
  <si>
    <t xml:space="preserve">Text</t>
  </si>
  <si>
    <t xml:space="preserve">AdventHealth</t>
  </si>
  <si>
    <t xml:space="preserve">Adventist Health System Sunbelt Healthcare Corporation d/b/a AdventHealth</t>
  </si>
  <si>
    <t xml:space="preserve">PP-NS-1565 US Med-Equip A1.docx.pdf</t>
  </si>
  <si>
    <t xml:space="preserve">BTS Rental, Other</t>
  </si>
  <si>
    <t xml:space="preserve">Premier PP-NS-1565</t>
  </si>
  <si>
    <t xml:space="preserve">2025-10-01</t>
  </si>
  <si>
    <t xml:space="preserve">Not stated (follows underlying PP-NS-1565 supplement agreement)</t>
  </si>
  <si>
    <t xml:space="preserve">Unknown</t>
  </si>
  <si>
    <t xml:space="preserve">Not stated</t>
  </si>
  <si>
    <t xml:space="preserve">Adds one item to Schedule 1: Stryker Medical Extender Kit (item 59739) at $13.11/EA</t>
  </si>
  <si>
    <t xml:space="preserve">Amendment 1 to AdventHealth GPO supplement agreement under Premier PP-NS-1565 adding a Stryker extender kit; signed 10/24/2025 by Doug Pytlinski (AdventHealth) and Tim Heck (USME). Term and other terms governed by the underlying supplement.</t>
  </si>
  <si>
    <t xml:space="preserve">AdventHealth BTS_Exp_03_01_31.pdf</t>
  </si>
  <si>
    <t xml:space="preserve">BTS Rental, MME Rental</t>
  </si>
  <si>
    <t xml:space="preserve">Premier PP-NS-1565 (supplement)</t>
  </si>
  <si>
    <t xml:space="preserve">2031-03-01</t>
  </si>
  <si>
    <t xml:space="preserve">~5.4 years (Oct 1, 2025 to Mar 1, 2031)</t>
  </si>
  <si>
    <t xml:space="preserve">None stated; continues if new Premier GPO award, else Premier terms survive as individual agreement</t>
  </si>
  <si>
    <t xml:space="preserve">Either party, 30 days prior written notice; AdventHealth may terminate immediately if Supplier fails credentialing</t>
  </si>
  <si>
    <t xml:space="preserve">Schedule B fixed daily rates per model (Premier-based supplement pricing)</t>
  </si>
  <si>
    <t xml:space="preserve">Not stated; no pass-through of taxes/tariffs permitted</t>
  </si>
  <si>
    <t xml:space="preserve">2% rebate on aggregate sales + additional 2% multi-service line rebate (BTS + MME primary, 90% first call each, DSO &lt;=30); paid annually 45 days after anniversary</t>
  </si>
  <si>
    <t xml:space="preserve">90% first-call annual purchase commitment for beds/mattresses/therapeutic surfaces rental</t>
  </si>
  <si>
    <t xml:space="preserve">Per Premier GPO Agreement; DSO must not exceed 30 days for rebate</t>
  </si>
  <si>
    <t xml:space="preserve">KPIs: 98% fill rate, delivery within 2 hrs + drive time, pickup 24 hrs (billing stops on notice), 24-hr replacement; TLS1.2/AES-256 data security, third-party risk review</t>
  </si>
  <si>
    <t xml:space="preserve">Supplement to Premier PP-NS-1565 covering AdventHealth facilities (Schedule A); includes rental equity discount (25%) and lost-equipment buyout policy. Agreement outlasts Premier agreement term.</t>
  </si>
  <si>
    <t xml:space="preserve">AdventHealth_Amendment_Verticles_Exp_03_01_31.pdf</t>
  </si>
  <si>
    <t xml:space="preserve">Premier PP-NS-1565 (Patient Beds-Rental), SP-NS-2139 (Peak Use Rental)</t>
  </si>
  <si>
    <t xml:space="preserve">2026-04-01</t>
  </si>
  <si>
    <t xml:space="preserve">~5 years (2026-04-01 to 2031-03-01)</t>
  </si>
  <si>
    <t xml:space="preserve">None stated</t>
  </si>
  <si>
    <t xml:space="preserve">Either party, without cause, 30 days written notice (all or part / by product); immediate if credentialing fails</t>
  </si>
  <si>
    <t xml:space="preserve">Per GPO contracts listed in Exhibit A (Premier PP-NS-1565, SP-NS-2139); 'Master Product Incentive Agreement' AH-CI-6370</t>
  </si>
  <si>
    <t xml:space="preserve">2% rebate on aggregate net sales + additional 2% multi-service-line rebate if USME primary for beds and MME (90% first call), DSO &lt;=30 days; paid 45 days after anniversary</t>
  </si>
  <si>
    <t xml:space="preserve">90% first-call commitment for Patient Beds and Peak Use Rental; no penalty for facility reductions; clinical-issue product removal without liability</t>
  </si>
  <si>
    <t xml:space="preserve">Not stated in agreement (rebate conditioned on DSO &lt;=30 days; disputes within 15 days of invoice)</t>
  </si>
  <si>
    <t xml:space="preserve">Supplier liability cap = 12 months' fees, carve-outs for injury, indemnity, confidentiality, HIPAA, negligence; broad supplier indemnity; insurance $5M/$10M CGL, $5M auto, $5M EL</t>
  </si>
  <si>
    <t xml:space="preserve">Health-system incentive agreement layering rebates over Premier contracts for all AdventHealth facilities (auto-adds new facilities). Filename says 'Amendment' but document is a new Master Product Incentive Agreement; rebate section cites Exhibit C but rebate is Exhibit B.</t>
  </si>
  <si>
    <t xml:space="preserve">Adventist Health (West)</t>
  </si>
  <si>
    <t xml:space="preserve">Adventist Health System/West</t>
  </si>
  <si>
    <t xml:space="preserve">Adventist West</t>
  </si>
  <si>
    <t xml:space="preserve">AdventistHealth West_MME BTS_Exp 03.31.2029_auto renew.pdf</t>
  </si>
  <si>
    <t xml:space="preserve">Direct</t>
  </si>
  <si>
    <t xml:space="preserve">Not stated in amendment (filename: 2029-03-31, auto renew)</t>
  </si>
  <si>
    <t xml:space="preserve">Not stated in amendment (filename indicates auto-renew)</t>
  </si>
  <si>
    <t xml:space="preserve">Per underlying Equipment Rental Agreement; Non-Owned Facilities load pricing via Exhibit 1.1 Letter of Participation</t>
  </si>
  <si>
    <t xml:space="preserve">Adventist Health disclaims liability for Non-Owned (affiliate acute) facilities' obligations</t>
  </si>
  <si>
    <t xml:space="preserve">First Amendment replacing Attachment B Covered Facilities (~25 acute facilities in CA/OR/HI plus non-acute entities) and adding a LOP for non-owned affiliates. Base agreement (eff. 4/1/2026) not in this file; expiry taken from filename only.</t>
  </si>
  <si>
    <t xml:space="preserve">Medium</t>
  </si>
  <si>
    <t xml:space="preserve">Adventist Health - CA</t>
  </si>
  <si>
    <t xml:space="preserve">Adventist Health BTS Exp 3.31.29.pdf</t>
  </si>
  <si>
    <t xml:space="preserve">MME Rental, BTS Rental, Respiratory, Restraints/Posey</t>
  </si>
  <si>
    <t xml:space="preserve">Vizient CE9205, CE7782 (incorporated by reference)</t>
  </si>
  <si>
    <t xml:space="preserve">2029-03-31</t>
  </si>
  <si>
    <t xml:space="preserve">Auto-renews successive 1-yr terms</t>
  </si>
  <si>
    <t xml:space="preserve">After Initial Term, either party without cause on 60 days written notice; breach with 60-day cure</t>
  </si>
  <si>
    <t xml:space="preserve">Daily rates per Attachment A (MME and BTS); Primary Vendor pricing; April 2026 MME rent waived as conversion incentive (skip billing)</t>
  </si>
  <si>
    <t xml:space="preserve">Fixed for Initial Term; thereafter up to 3% once per contract year with 30 days notice</t>
  </si>
  <si>
    <t xml:space="preserve">USME pays Vizient GPO admin fees and sales reports per Vizient agreements</t>
  </si>
  <si>
    <t xml:space="preserve">Primary Vendor: 90%+ of annual rental spend for covered facilities; 120-day cure, then list pricing until cured</t>
  </si>
  <si>
    <t xml:space="preserve">Net 30 via ACH/wire; 1.5%/month interest on undisputed past due; credit hold/repossession rights</t>
  </si>
  <si>
    <t xml:space="preserve">Customer responsible for loss/damage and must insure at replacement cost; mutual indemnity; no consequential damages; USME GL $1M/$3M; assignment requires USME consent; Delaware law</t>
  </si>
  <si>
    <t xml:space="preserve">Conversion from incumbent across ~30 Adventist Health West acute facilities in CA/OR (Attachment B); 2-hour plus drive time delivery commitment. Filename says BTS but agreement covers both MME and BTS.</t>
  </si>
  <si>
    <t xml:space="preserve">Adventist HealthCare (MD)</t>
  </si>
  <si>
    <t xml:space="preserve">Adventist Healthcare (Maryland)</t>
  </si>
  <si>
    <t xml:space="preserve">Adventist MD</t>
  </si>
  <si>
    <t xml:space="preserve">Adventist_Healthcare_MD_Rental_Agreement_Exp_8_31_2030.pdf</t>
  </si>
  <si>
    <t xml:space="preserve">BTS Rental</t>
  </si>
  <si>
    <t xml:space="preserve">2025-09-01</t>
  </si>
  <si>
    <t xml:space="preserve">2030-08-31</t>
  </si>
  <si>
    <t xml:space="preserve">5 years</t>
  </si>
  <si>
    <t xml:space="preserve">Either party, 60 days written notice without cause, only after Initial Term; 60-day cure for breach</t>
  </si>
  <si>
    <t xml:space="preserve">Daily rates per Attachment A (Primary Vendor pricing); contract # AD08262025JS</t>
  </si>
  <si>
    <t xml:space="preserve">Fixed until 2nd anniversary; then max 1x/yr by greater of 5% or prior-yr Medical Care CPI-U, 30 days notice (email OK)</t>
  </si>
  <si>
    <t xml:space="preserve">Primary Vendor: 90%+ of annual rental spend; 60-day cure, else list pricing for remaining term</t>
  </si>
  <si>
    <t xml:space="preserve">Net 30 via ACH/wire; interest at max legal rate on past due; repossession/credit hold/list pricing on non-payment</t>
  </si>
  <si>
    <t xml:space="preserve">Customer liable for loss/damage and must insure equipment at replacement cost; mutual indemnity; no consequential damages; USME CGL $1M/$3M; customer may not assign w/o consent; TX law, Harris County</t>
  </si>
  <si>
    <t xml:space="preserve">Covers Fort Washington MC and White Oak MC (Attachment B). Strong USME-favorable terms incl. escalator and list-price fallback for commitment breach.</t>
  </si>
  <si>
    <t xml:space="preserve">Allegheny Health Network (Highmark Health)</t>
  </si>
  <si>
    <t xml:space="preserve">Allegheny Health Network</t>
  </si>
  <si>
    <t xml:space="preserve">Allegheny Health - MME</t>
  </si>
  <si>
    <t xml:space="preserve">Allegheny MME _Exp_2_28_30.pdf</t>
  </si>
  <si>
    <t xml:space="preserve">MME Rental, Respiratory</t>
  </si>
  <si>
    <t xml:space="preserve">2025-03-01</t>
  </si>
  <si>
    <t xml:space="preserve">2030-02-28</t>
  </si>
  <si>
    <t xml:space="preserve">Either party without cause on 30 days written notice; 60-day cure for breach</t>
  </si>
  <si>
    <t xml:space="preserve">Daily/monthly rental rates per Attachment A (Preferred Vendor pricing; list price shown for safe harbor reporting); Contract #09202024JS</t>
  </si>
  <si>
    <t xml:space="preserve">Preferred vendor: customer to place 90%+ of annual rental spend for Attachment A equipment with USME at Covered Facilities (Att. B); 60-day cure, else then-applicable pricing</t>
  </si>
  <si>
    <t xml:space="preserve">Net 30; USME may repossess or put customer on credit hold for non-payment</t>
  </si>
  <si>
    <t xml:space="preserve">Customer liable for loss/damage and must insure equipment at replacement cost; full new-equipment cost if not surrendered; broad USME indemnity; no assignment without consent; CGL $1M/$3M</t>
  </si>
  <si>
    <t xml:space="preserve">5-year preferred-vendor MME deal with 90% spend commitment, but either party can exit on 30 days notice, which weakens the commitment. AHN exhibits C-G (AI, data security, BAA) add obligations.</t>
  </si>
  <si>
    <t xml:space="preserve">Allegheny Health Network (Vizient)</t>
  </si>
  <si>
    <t xml:space="preserve">Vizient Supply, LLC for the benefit of Allegheny Health Network (AHN)</t>
  </si>
  <si>
    <t xml:space="preserve">Allegheny Health - Beds</t>
  </si>
  <si>
    <t xml:space="preserve">AHN US Med-Equip Bariatric Bed Rentals Addendum Exp 2_29_2028.pdf</t>
  </si>
  <si>
    <t xml:space="preserve">Vizient CE9205AB (formerly CE3363AB)</t>
  </si>
  <si>
    <t xml:space="preserve">2028-02-29</t>
  </si>
  <si>
    <t xml:space="preserve">Not stated (addendum expires 2/29/2028)</t>
  </si>
  <si>
    <t xml:space="preserve">Vizient may terminate without cause on 90 days written notice; auto-terminates if base agreement CE9205 terminates</t>
  </si>
  <si>
    <t xml:space="preserve">Not stated in amendment (per underlying addendum)</t>
  </si>
  <si>
    <t xml:space="preserve">Amends AHN bariatric &amp; therapeutic beds addendum: extends to 2/29/2028 and re-points base agreement from CE3363 to Vizient CE9205 (dated 3/1/2025); sales to be reported under CE9205.</t>
  </si>
  <si>
    <t xml:space="preserve">Amber Well Health</t>
  </si>
  <si>
    <t xml:space="preserve">Amber Well Health Hiawatha</t>
  </si>
  <si>
    <t xml:space="preserve">Amber Well</t>
  </si>
  <si>
    <t xml:space="preserve">Amber Well Health Hiawatha_Rental_Agreement_Exp_02_28_26.pdf</t>
  </si>
  <si>
    <t xml:space="preserve">2027-02-28 (current auto-renewal term; initial term ended 2026-02-28)</t>
  </si>
  <si>
    <t xml:space="preserve">1 year</t>
  </si>
  <si>
    <t xml:space="preserve">Either party, 30 days written notice without cause after Initial Term; 60-day cure for breach</t>
  </si>
  <si>
    <t xml:space="preserve">Daily/monthly rates per Attachment A; Primary Vendor pricing (BTS + MME cribs)</t>
  </si>
  <si>
    <t xml:space="preserve">Fixed until 2nd anniversary (2027-03-01); then max once/yr, greater of 5% or prior-yr Medical Care CPI-U, 30 days notice (email OK)</t>
  </si>
  <si>
    <t xml:space="preserve">Primary Vendor: 90%+ of annual rental spend; 60-day cure, else list pricing for remainder of term</t>
  </si>
  <si>
    <t xml:space="preserve">Net 30; late interest lesser of 1.5%/mo or legal max; credit-hold and list pricing on non-payment</t>
  </si>
  <si>
    <t xml:space="preserve">Customer liable for loss/damage and must insure equipment at replacement cost; mutual indemnity; no consequential damages; USME CGL $1M/$3M; full new-unit cost if not surrendered</t>
  </si>
  <si>
    <t xml:space="preserve">Single Kansas critical-access hospital (Hiawatha, KS), contract KS02072025HCH. Mostly BTS (Freedom Wave, Nuvay surfaces) plus cribs. Filename expiry 2/28/26 is end of initial term; auto-renewed.</t>
  </si>
  <si>
    <t xml:space="preserve">OCR</t>
  </si>
  <si>
    <t xml:space="preserve">AMG Integrated Healthcare</t>
  </si>
  <si>
    <t xml:space="preserve">Houston-AMG Specialty Hospital, Inc.</t>
  </si>
  <si>
    <t xml:space="preserve">AMG/Houston</t>
  </si>
  <si>
    <t xml:space="preserve">AMG Houston Biomed Service_Exp_06_30_29.pdf</t>
  </si>
  <si>
    <t xml:space="preserve">Biomed/Repair Service</t>
  </si>
  <si>
    <t xml:space="preserve">2026-07-01</t>
  </si>
  <si>
    <t xml:space="preserve">2029-06-30</t>
  </si>
  <si>
    <t xml:space="preserve">Customer may terminate without cause on 60 days written notice at any time; after Initial Term either party 60 days; customer termination for unsatisfactory PM after 30-day cure</t>
  </si>
  <si>
    <t xml:space="preserve">Fixed PM fee for customer-owned equipment (Exhibit A): $2,980/month, $35,760/year; parts excluded</t>
  </si>
  <si>
    <t xml:space="preserve">Annual CPI-U adjustment, lesser of 3% or CPI-U increase</t>
  </si>
  <si>
    <t xml:space="preserve">Non-exclusive; no minimum/maximum volume guarantees</t>
  </si>
  <si>
    <t xml:space="preserve">Net 30 from receipt of undisputed invoice; 1.5%/month late fee; USME may suspend services for late payment</t>
  </si>
  <si>
    <t xml:space="preserve">USME liability capped at total agreement price; no consequential damages; mutual indemnity; insurance $1M/$3M GL &amp; professional; exclusions for misuse, acts of God, customer modifications</t>
  </si>
  <si>
    <t xml:space="preserve">Annual on-site preventive maintenance (inspection, testing, calibration, documentation) on hospital-owned equipment per Exhibit A (e.g., Zoll defibrillators); repairs, parts and software excluded. Contract ID 05052601HP. Customer's anytime 60-day convenience termination undercuts the 3-year term.</t>
  </si>
  <si>
    <t xml:space="preserve">AMG Specialty Hospital</t>
  </si>
  <si>
    <t xml:space="preserve">Clear Lake-AMG Specialty Hospital, Inc.</t>
  </si>
  <si>
    <t xml:space="preserve">AMG/Clear Lake</t>
  </si>
  <si>
    <t xml:space="preserve">AMG Clear Lake Biomed Service_Exp_06_30_29.pdf</t>
  </si>
  <si>
    <t xml:space="preserve">Customer may terminate without cause on 60 days written notice anytime; after Initial Term either party on 60 days notice; customer may terminate for unsatisfactory PM after 30-day cure</t>
  </si>
  <si>
    <t xml:space="preserve">Annual PM (excl. parts) on hospital-owned equipment in Exhibit A: $3,705.63/month, $44,467.50/year (Contract ID 05052601HP)</t>
  </si>
  <si>
    <t xml:space="preserve">Annual CPI-U adjustment, capped at lesser of 3% or CPI</t>
  </si>
  <si>
    <t xml:space="preserve">None</t>
  </si>
  <si>
    <t xml:space="preserve">Non-exclusive; no volume minimums or guarantees</t>
  </si>
  <si>
    <t xml:space="preserve">USME liability capped at total contract price; no consequential damages; mutual indemnity; CGL/professional $1M/$3M; parts, repairs, software excluded</t>
  </si>
  <si>
    <t xml:space="preserve">Biomed PM-only contract on customer-owned equipment (defibrillators, ECGs, etc.); parts and corrective repairs excluded. Customer has 60-day termination for convenience from day one.</t>
  </si>
  <si>
    <t xml:space="preserve">Ascension (The Resource Group)</t>
  </si>
  <si>
    <t xml:space="preserve">Ascension Health Resource and Supply Management Group, LLC (The Resource Group)</t>
  </si>
  <si>
    <t xml:space="preserve">GPO/The Resource Group</t>
  </si>
  <si>
    <t xml:space="preserve">Resource Group_MME_3_31_2029.pdf</t>
  </si>
  <si>
    <t xml:space="preserve">MME Rental</t>
  </si>
  <si>
    <t xml:space="preserve">The Resource Group USMED-0170211</t>
  </si>
  <si>
    <t xml:space="preserve">US Med-Equip LLC</t>
  </si>
  <si>
    <t xml:space="preserve">2026-04-01 (Amendment 003; agreement dated 2023-02-15)</t>
  </si>
  <si>
    <t xml:space="preserve">Not stated in amendment</t>
  </si>
  <si>
    <t xml:space="preserve">Exhibit 1 (Appendix A-2) daily/monthly rates vs list price</t>
  </si>
  <si>
    <t xml:space="preserve">Supplier may request price change once annually for material cost changes; 30-day good-faith negotiation, else may remove part number</t>
  </si>
  <si>
    <t xml:space="preserve">Contract admin fee 5%; 3% conversion rebate on first 12 months (requires 90% compliance, DSO &lt;=30, non-stackable)</t>
  </si>
  <si>
    <t xml:space="preserve">Primary vendor: &gt;=90% of annual MME rental spend (aggregate); up to 25% premium on non-compliant participants after 30-day notice + 60-day cure; 90-day transition</t>
  </si>
  <si>
    <t xml:space="preserve">Net 30 via ACH/wire; interest 1.5% on undisputed sums &gt;45 days past due; credit-hold, list pricing, repossession rights</t>
  </si>
  <si>
    <t xml:space="preserve">No MFN/pricing parity (special promotions need not be extended); rebate reporting late interest</t>
  </si>
  <si>
    <t xml:space="preserve">Amendment 003 extends Ascension TRG MME agreement to 3/31/2029, raises admin fee to 5%, adds Appendix O primary provider terms. Document contains bank remittance details.</t>
  </si>
  <si>
    <t xml:space="preserve">Atlantic Health System</t>
  </si>
  <si>
    <t xml:space="preserve">Atlantic Health System, Inc.</t>
  </si>
  <si>
    <t xml:space="preserve">Atlantic Health_BTS_Exp_11_14_30.pdf</t>
  </si>
  <si>
    <t xml:space="preserve">Premier PP-NS-1565 (GPO fees traced)</t>
  </si>
  <si>
    <t xml:space="preserve">2025-05-01 (signed 2025-11-12)</t>
  </si>
  <si>
    <t xml:space="preserve">2030-04-30 (5 yrs from effective date; filename says 11/14/30)</t>
  </si>
  <si>
    <t xml:space="preserve">Successive 1-yr renewals by mutual written consent</t>
  </si>
  <si>
    <t xml:space="preserve">After Initial Term, either party without cause on 30 days written notice; breach with 60-day cure</t>
  </si>
  <si>
    <t xml:space="preserve">Attachment A daily/monthly rates; primary vendor pricing (list pricing if 80% commitment not cured in 60 days)</t>
  </si>
  <si>
    <t xml:space="preserve">Fixed until 2nd anniversary; then max once/yr, greater of 5% or Medical Care CPI-U, 30 days notice</t>
  </si>
  <si>
    <t xml:space="preserve">Quarterly rebate: Yr1 8%, Yrs 2-5+ 3%; requires 80% BTS commitment, DSO &lt;=30, ACH payment; no stacking with other rebates</t>
  </si>
  <si>
    <t xml:space="preserve">Primary vendor: 80%+ of annual BTS rental spend; 60-day cure else list pricing</t>
  </si>
  <si>
    <t xml:space="preserve">Net 30 via ACH/wire; interest on past due at max legal rate; USME may suspend service</t>
  </si>
  <si>
    <t xml:space="preserve">Customer liable for loss/damage of equipment and must insure at replacement cost; mutual indemnity; CGL $1M/$3M; delivery 4 hrs avg, pickup 24 hrs avg; assignment needs consent (customer merger exempt)</t>
  </si>
  <si>
    <t xml:space="preserve">Covers 9 Atlantic facilities in NJ incl. CentraState and Morristown. Filename expiry 11/14/30 conflicts with 5-yr term from 5/1/2025 effective date (text implies 4/30/2030).</t>
  </si>
  <si>
    <t xml:space="preserve">AtlantiCare</t>
  </si>
  <si>
    <t xml:space="preserve">AtlantiCare Regional Medical Center</t>
  </si>
  <si>
    <t xml:space="preserve">AtlantiCare_MME_BTS_Amendment_Exp_09_30_2030.pdf</t>
  </si>
  <si>
    <t xml:space="preserve">2025-12-05 (last signature; original agreement 2022-09-21)</t>
  </si>
  <si>
    <t xml:space="preserve">2030-09-30</t>
  </si>
  <si>
    <t xml:space="preserve">Extension of original agreement (prior term expired 2025-09-30)</t>
  </si>
  <si>
    <t xml:space="preserve">Not stated in amendment (per original agreement)</t>
  </si>
  <si>
    <t xml:space="preserve">Daily/monthly rates per Exhibit A Pricing (MME and BTS line items)</t>
  </si>
  <si>
    <t xml:space="preserve">Preferred vendor; 90% category spend compliance for MME and BTS peak-need rentals; customer may use others if USME cannot supply</t>
  </si>
  <si>
    <t xml:space="preserve">Net 30; interest lesser of 1.5%/month or legal max; credit-hold, repossession, suspension rights; collection costs</t>
  </si>
  <si>
    <t xml:space="preserve">Customer liable for collection costs/attorney fees; other risk terms per original agreement</t>
  </si>
  <si>
    <t xml:space="preserve">First Amendment extends term to 9/30/2030 and replaces payment terms. Locks in 90% MME+BTS compliance commitment.</t>
  </si>
  <si>
    <t xml:space="preserve">Banner Health</t>
  </si>
  <si>
    <t xml:space="preserve">Banner_MME_Exp_6_30_2025_Auto_2026_LR.pdf</t>
  </si>
  <si>
    <t xml:space="preserve">2022-07-01</t>
  </si>
  <si>
    <t xml:space="preserve">2027-06-30 (initial term ended 2025-06-30; auto-renews annually)</t>
  </si>
  <si>
    <t xml:space="preserve">Either party, without cause, 30 days written notice</t>
  </si>
  <si>
    <t xml:space="preserve">Second-call vendor pricing per Attachment A (daily/monthly rates, e.g., Servo-i $62.98/day)</t>
  </si>
  <si>
    <t xml:space="preserve">None; 25% rental equity credit toward buyout (up to 12 months); 50% lost-equipment buyout credit with 3 RFID scans</t>
  </si>
  <si>
    <t xml:space="preserve">Second-call vendor status only (called when primary MME supplier cannot fill)</t>
  </si>
  <si>
    <t xml:space="preserve">Monthly rent due 1st of month; repossession right for non-payment</t>
  </si>
  <si>
    <t xml:space="preserve">Customer liable for loss/damage/abuse; full new-equipment replacement cost if not returned in good condition; customer pays collection/attorney fees; CGL $1M/$3M; Texas law, Harris County venue</t>
  </si>
  <si>
    <t xml:space="preserve">Contract #BH06212022JD. USME is second-call, not primary, for Banner covered facilities (Attachment B). Text auto-renewal consistent with filename 'Auto'.</t>
  </si>
  <si>
    <t xml:space="preserve">BayCare Health System</t>
  </si>
  <si>
    <t xml:space="preserve">BayCare Purchasing Partners, LLC</t>
  </si>
  <si>
    <t xml:space="preserve">Baycare</t>
  </si>
  <si>
    <t xml:space="preserve">Baycare MME Rental Exp 2_29_2028.pdf</t>
  </si>
  <si>
    <t xml:space="preserve">Either party, 60 days written notice at any time; 30-day cure for material breach</t>
  </si>
  <si>
    <t xml:space="preserve">Daily rates per Exhibit A (Product Pricing Agreement BPP00454A2); distributor BISC</t>
  </si>
  <si>
    <t xml:space="preserve">Price protection: no increases for duration of PPA</t>
  </si>
  <si>
    <t xml:space="preserve">3% admin fee to BPP on net purchases; rebates/incentives per Exhibit C (blank in document)</t>
  </si>
  <si>
    <t xml:space="preserve">Vendor is primary vendor of choice (90% utilization)</t>
  </si>
  <si>
    <t xml:space="preserve">1% 15 / Net 30 (ACH); 45-day disputed invoice window; invoices &gt;180 days late not payable; credits within 30 days</t>
  </si>
  <si>
    <t xml:space="preserve">95% on-time fill rate; 1.5% penalty on backordered volume below 95% paid quarterly; FOB destination, vendor pays freight; alternate sourcing after 10 days</t>
  </si>
  <si>
    <t xml:space="preserve">Supplements BPP Master Purchasing Agreement (not in file). Fill rate penalty and stale-invoice forfeiture are operational exposures for billing.</t>
  </si>
  <si>
    <t xml:space="preserve">Baylor Scott &amp; White Health</t>
  </si>
  <si>
    <t xml:space="preserve">Baylor Scott &amp; White</t>
  </si>
  <si>
    <t xml:space="preserve">BSW MME BTS RentalAddendum Exp_09_30_2030.pdf</t>
  </si>
  <si>
    <t xml:space="preserve">MME Rental, BTS Rental, Respiratory</t>
  </si>
  <si>
    <t xml:space="preserve">Vizient CE7782 (MSP Addendum)</t>
  </si>
  <si>
    <t xml:space="preserve">US Med Equip LLC</t>
  </si>
  <si>
    <t xml:space="preserve">2025-05-21 (signed; base MSP effective 2024-10-01)</t>
  </si>
  <si>
    <t xml:space="preserve">Continues under any successor Vizient agreement extending beyond 9/30/2027 through 9/30/2030</t>
  </si>
  <si>
    <t xml:space="preserve">Replaces Schedule A: MME daily/monthly rates (monthly = 28x daily); BTS at 80% Committed pricing</t>
  </si>
  <si>
    <t xml:space="preserve">BTS pricing labeled 80% Committed</t>
  </si>
  <si>
    <t xml:space="preserve">Addendum to BSW Member Specific Pricing addendum under Vizient CE7782 replacing Schedule A with large MME and BTS price list; extends arrangement to 9/30/2030 even if CE7782 is replaced.</t>
  </si>
  <si>
    <t xml:space="preserve">CareOne</t>
  </si>
  <si>
    <t xml:space="preserve">CareOne_MME_BTS_Exp_02_28_30.pdf</t>
  </si>
  <si>
    <t xml:space="preserve">No auto-renewal; 1-yr renewals by mutual written consent (proposal 90 days before end)</t>
  </si>
  <si>
    <t xml:space="preserve">Daily/monthly rates per Attachment A (MME and BTS); Primary Vendor pricing</t>
  </si>
  <si>
    <t xml:space="preserve">Fixed 2 years; then once per contract year, capped at 3%, 60 days notice</t>
  </si>
  <si>
    <t xml:space="preserve">Primary Vendor: 90%+ of annual rental spend; 60-day cure, then prevailing market rates for remaining term</t>
  </si>
  <si>
    <t xml:space="preserve">Net 30 from invoice; 1.5%/month (18%/yr) interest; credit hold/repossession</t>
  </si>
  <si>
    <t xml:space="preserve">Customer liable for loss/damage and must insure at FMV; mutual indemnity; no consequential damages; USME GL $1M/$3M; customer assignment needs USME consent</t>
  </si>
  <si>
    <t xml:space="preserve">Covers 6 CareOne NJ facilities/LTACHs (Attachment B); free delivery within 120 miles, 2-hour plus drive time; RFID and GOUSME portal value-adds. Contract # JS02102025CO.</t>
  </si>
  <si>
    <t xml:space="preserve">Centra Health</t>
  </si>
  <si>
    <t xml:space="preserve">Centra Health BTS Exp 12_21_2028.pdf</t>
  </si>
  <si>
    <t xml:space="preserve">BTS Rental, MME Rental, Asset Mgmt/On-site</t>
  </si>
  <si>
    <t xml:space="preserve">Direct (Contract # CH010324JS)</t>
  </si>
  <si>
    <t xml:space="preserve">2023-12-22</t>
  </si>
  <si>
    <t xml:space="preserve">2028-12-21</t>
  </si>
  <si>
    <t xml:space="preserve">Either party without cause on 60 days notice, only after Initial Term</t>
  </si>
  <si>
    <t xml:space="preserve">Primary Vendor daily rates per Attachment A (Freedom 1000 $55.00, Freedom 500 $27.55, Pronova-O2 $1,400); 25% Rental Equity Discount option</t>
  </si>
  <si>
    <t xml:space="preserve">Fixed 2 yrs; then once per contract year up to greater of 5% or Medical Care CPI-U, 30 days notice</t>
  </si>
  <si>
    <t xml:space="preserve">Primary vendor: 80%+ of annual rental spend for Attachment A equipment types; after 60-day cure, market rates apply</t>
  </si>
  <si>
    <t xml:space="preserve">Net 30; late interest 1.5%/month (18%/yr); credit hold/repossession rights</t>
  </si>
  <si>
    <t xml:space="preserve">Customer liable for loss/damage repair/replacement and must insure at replacement cost; mutual indemnity; no consequential damages; USME CGL $1M/$3M</t>
  </si>
  <si>
    <t xml:space="preserve">Covers Lynchburg General, Virginia Baptist, Centra Specialty Hospital (Lynchburg, VA). EMR integration at no charge. Virginia law.</t>
  </si>
  <si>
    <t xml:space="preserve">CHOMP (Montage Health)</t>
  </si>
  <si>
    <t xml:space="preserve">Community Hospital of the Monterey Peninsula</t>
  </si>
  <si>
    <t xml:space="preserve">Community Hospital of the Monterey Peninsula (CHOMP)</t>
  </si>
  <si>
    <t xml:space="preserve">CHOMP_BTS_Exp_1_31_2026.docx</t>
  </si>
  <si>
    <t xml:space="preserve">Direct (Vizient Tier 4 pricing referenced)</t>
  </si>
  <si>
    <t xml:space="preserve">2022-10-11</t>
  </si>
  <si>
    <t xml:space="preserve">2025-10-11 initial; auto-renewed to 2026-10-11</t>
  </si>
  <si>
    <t xml:space="preserve">Either party without cause, 30 days written notice</t>
  </si>
  <si>
    <t xml:space="preserve">Vizient Tier 4 daily rates per Attachment A (bariatric beds, low beds, Posey/Freedom Safe beds, transfer devices); consignment, no charge until used</t>
  </si>
  <si>
    <t xml:space="preserve">None stated; value-adds include 25% rental equity credit toward buyout and 50% lost-equipment buyout credit</t>
  </si>
  <si>
    <t xml:space="preserve">Primary vendor: 90%+ of annual rental spend for Attachment B facilities</t>
  </si>
  <si>
    <t xml:space="preserve">Net 30; USME may repossess on non-payment; customer pays collection/attorney fees</t>
  </si>
  <si>
    <t xml:space="preserve">Customer liable for loss/damage and abuse repairs; full new-unit cost if not returned in good condition; mutual indemnity; USME CGL $1M/$3M; Texas law, Harris County venue</t>
  </si>
  <si>
    <t xml:space="preserve">Consigned peak-use BTS/bariatric equipment at CHOMP. Filename says Exp 1/31/2026 but text gives 3-yr term from 10/11/2022 with auto-renewal; primary vendor clause text says MME although equipment is BTS. CHOMP BTS amendment exp 9/30/2027 also on file.</t>
  </si>
  <si>
    <t xml:space="preserve">CHOMP amedment BTS_Exp_09_30_2027.pdf</t>
  </si>
  <si>
    <t xml:space="preserve">2027-09-30</t>
  </si>
  <si>
    <t xml:space="preserve">Not stated (extension of agreement dated 2025-08-13)</t>
  </si>
  <si>
    <t xml:space="preserve">Not stated; further changes by mutual written amendment</t>
  </si>
  <si>
    <t xml:space="preserve">Per underlying agreement (not stated here)</t>
  </si>
  <si>
    <t xml:space="preserve">Daily rates per Attachment A: VersaTech 1100 ULB Drive $82.22; VersaTech 600 2.0 / 600 ULB $29.00; Rotec VersaTech 1100 bariatric low bed $57.00</t>
  </si>
  <si>
    <t xml:space="preserve">Extends Equipment Rental Agreement (contract UCIMC1012022TH, dated 2025-08-13) to 9/30/2027 and adds bariatric bed items. Contract number appears reused from a UCI template; verify. Amendment section 1 text truncated.</t>
  </si>
  <si>
    <t xml:space="preserve">CHRISTUS Health</t>
  </si>
  <si>
    <t xml:space="preserve">Christus Health</t>
  </si>
  <si>
    <t xml:space="preserve">CHRISTUS Refurb Purchase Agreement exp_12_31_2021_auto renew.pdf</t>
  </si>
  <si>
    <t xml:space="preserve">Refurb Equipment Sales, Biomed/Repair Service</t>
  </si>
  <si>
    <t xml:space="preserve">US Med-Equip, Inc.</t>
  </si>
  <si>
    <t xml:space="preserve">2017-01-01; Amendment 2018-07-24</t>
  </si>
  <si>
    <t xml:space="preserve">2021-12-31 initial; auto-renews 1-yr terms (current term to 2026-12-31 if not terminated)</t>
  </si>
  <si>
    <t xml:space="preserve">Either party without cause on 30 days written notice; breach w/15-day cure; Facility immediate for cause</t>
  </si>
  <si>
    <t xml:space="preserve">Fixed purchase prices per Exhibit A/Attachment 1 (refurb/new Philips, Physio, Zoll defibs; flat repair after warranty); $125/hr bench rate non-warranty</t>
  </si>
  <si>
    <t xml:space="preserve">Supplier provides then-current published list price each Jan 1; discounts per table</t>
  </si>
  <si>
    <t xml:space="preserve">Monthly invoicing to CHRISTUS AP; terms not legible in excerpt</t>
  </si>
  <si>
    <t xml:space="preserve">Broad supplier indemnity; insurance GL $1M/$2M, auto $1M, E&amp;O $1M, cyber $10M, umbrella $1M; no assignment w/o consent; 5-yr/12-mo bench warranties</t>
  </si>
  <si>
    <t xml:space="preserve">Refurbished defibrillator sales and repair agreement; 2018 amendment added products, pricing and participating facilities. Evergreen renewal per text.</t>
  </si>
  <si>
    <t xml:space="preserve">CHRISTUS-US Med Equip-Respiratory Subordinate Agreement_Exp01_04_29.pdf</t>
  </si>
  <si>
    <t xml:space="preserve">Respiratory, Biomed/Repair Service</t>
  </si>
  <si>
    <t xml:space="preserve">2026-01-05</t>
  </si>
  <si>
    <t xml:space="preserve">2029-01-04</t>
  </si>
  <si>
    <t xml:space="preserve">None stated (governed by Master Purchasing Agreement eff. 2026-01-05)</t>
  </si>
  <si>
    <t xml:space="preserve">Not stated in subordinate agreement (Master Agreement controls); auto-terminates for facilities that cease to qualify</t>
  </si>
  <si>
    <t xml:space="preserve">Fixed purchase prices per Attachment 1 (e.g., Airon pNeuton Model A ventilator start-up kit $9,841.40); trade-in allowances at USME discretion</t>
  </si>
  <si>
    <t xml:space="preserve">Not stated; quotation-compliance warranty with refund of overcharges</t>
  </si>
  <si>
    <t xml:space="preserve">Not stated (Applicable Rate for late = lesser of 1.5%/mo or legal max)</t>
  </si>
  <si>
    <t xml:space="preserve">SLA: phone support within 30 min (10% monthly service credit if missed); Urban FSE onsite 2 hrs (service extension penalty); pass-through OEM uptime/warranty; 12-mo parts warranty; perpetual software license; IT access controls</t>
  </si>
  <si>
    <t xml:space="preserve">Subordinate purchasing agreement under CHRISTUS Master Purchasing Agreement for respiratory/ventilator products (Airon pNeuton transport ventilators) at CHRISTUS St. Michael (Texarkana/Atlanta TX) facilities. Service/PM obligations attach if service purchased.</t>
  </si>
  <si>
    <t xml:space="preserve">CHRISTUS-US Med Equip-Master Agreement_Exp01_04_29.pdf</t>
  </si>
  <si>
    <t xml:space="preserve">MME Rental, Biomed/Repair Service, Refurb Equipment Sales</t>
  </si>
  <si>
    <t xml:space="preserve">2036-01-04 per text (10-yr term); filename says 01/04/29</t>
  </si>
  <si>
    <t xml:space="preserve">10 years; survives while any Subordinate Agreement remains in effect</t>
  </si>
  <si>
    <t xml:space="preserve">No convenience termination stated; either party for material breach (30-day cure); CHRISTUS immediate for cause (safety, reputation, exclusion, false reps) or regulatory issues</t>
  </si>
  <si>
    <t xml:space="preserve">Master Purchasing Agreement; pricing set in separate Subordinate Agreements per Facility</t>
  </si>
  <si>
    <t xml:space="preserve">Firm pricing: no increases during Subordinate Agreement Term unless stated therein; decreases must be offered to all Facilities</t>
  </si>
  <si>
    <t xml:space="preserve">None stated; Facilities not obligated to buy across Subordinate Agreements; failure to supply -&gt; USME pays price difference for Competing Product</t>
  </si>
  <si>
    <t xml:space="preserve">Facility pays within 30 days of receipt of compliant invoice; equipment purchases 80% on delivery / 20% on acceptance; no handling fees</t>
  </si>
  <si>
    <t xml:space="preserve">MFN: prices/terms must equal or beat any other customer, with refunds of difference; insurance: GL $1M/$2M, auto $1M, E&amp;O $1M, cyber $1M, umbrella $5M; assignment needs consent (affiliate/M&amp;A allowed with notice)</t>
  </si>
  <si>
    <t xml:space="preserve">Umbrella MSA signed 1/6/2026 governing all CHRISTUS Subordinate Agreements; Catholic ERDs, HIPAA, MDS2 forms due within 30 days of each Subordinate Agreement. Filename expiry (1/4/2029) conflicts with 10-yr term in text; may reflect a Subordinate Agreement term.</t>
  </si>
  <si>
    <t xml:space="preserve">ClearSky Health</t>
  </si>
  <si>
    <t xml:space="preserve">ClearSky Health MME BTS Exp_5_31_26_LR.pdf</t>
  </si>
  <si>
    <t xml:space="preserve">2023-06-01</t>
  </si>
  <si>
    <t xml:space="preserve">2027-05-31 (current auto-renewal term; initial term ended 2026-05-31)</t>
  </si>
  <si>
    <t xml:space="preserve">Either party, 30 days written notice without cause (any time)</t>
  </si>
  <si>
    <t xml:space="preserve">Monthly rental rates per Attachment A; Primary Vendor pricing</t>
  </si>
  <si>
    <t xml:space="preserve">Primary Vendor: 90%+ of annual MME rental spend for Attachment B facilities</t>
  </si>
  <si>
    <t xml:space="preserve">Net 30</t>
  </si>
  <si>
    <t xml:space="preserve">Customer liable for loss/damage and abuse repairs plus USME enforcement/collection costs; full new-unit cost if not surrendered; USME CGL $1M/$3M; customer may not assign without consent</t>
  </si>
  <si>
    <t xml:space="preserve">Contract 06082023LR with New Mexico rehab operator. Only MME monthly pricing visible in OCR (no BTS pricing found despite 'MME BTS' filename). Attachment B facility list not captured.</t>
  </si>
  <si>
    <t xml:space="preserve">ClearSky_Agreement_Exp_9_30_27_2_29_28.pdf</t>
  </si>
  <si>
    <t xml:space="preserve">Vizient CE7782 (MME Tier 3) and Vizient CE9205 (BTS Tier 3)</t>
  </si>
  <si>
    <t xml:space="preserve">2025-05-06</t>
  </si>
  <si>
    <t xml:space="preserve">2028-05-05 (initial term; auto-renews)</t>
  </si>
  <si>
    <t xml:space="preserve">After Initial Term only: either party, without cause, 60 days written notice</t>
  </si>
  <si>
    <t xml:space="preserve">Vizient CE7782 Tier 3 (90% commitment) for MME; Vizient CE9205 Tier 3 (80% commitment) for beds/surfaces; fixed for term</t>
  </si>
  <si>
    <t xml:space="preserve">Fixed for term (pricing effective for term of contract)</t>
  </si>
  <si>
    <t xml:space="preserve">Primary vendor: 90% of MME rental spend, 80% of BTS rental spend; 60-day cure then list pricing for remaining term</t>
  </si>
  <si>
    <t xml:space="preserve">Net 30 via ACH/wire; late interest 1.5%/month (18%/yr); credit hold and list pricing on non-payment</t>
  </si>
  <si>
    <t xml:space="preserve">Customer liable for loss/damage and must insure equipment at replacement cost; mutual indemnity; consequential damages exclusion; CGL $1M/$3M; customer may not assign</t>
  </si>
  <si>
    <t xml:space="preserve">Filename dates (9/30/27, 2/29/28) do not match text: 3-yr term from 5/6/2025 implies initial term ending 5/5/2028. No convenience exit during first 3 years.</t>
  </si>
  <si>
    <t xml:space="preserve">Cleveland Clinic</t>
  </si>
  <si>
    <t xml:space="preserve">The Cleveland Clinic Foundation d.b.a. Cleveland Clinic</t>
  </si>
  <si>
    <t xml:space="preserve">Cleveland Clinic_Exp_7_31_28.pdf</t>
  </si>
  <si>
    <t xml:space="preserve">Direct (CCF Contract ID 4330960)</t>
  </si>
  <si>
    <t xml:space="preserve">2025-08 (signed 8/8-8/11/2025; term starts on installation)</t>
  </si>
  <si>
    <t xml:space="preserve">2028-07-31 (per filename; 3 years from installation)</t>
  </si>
  <si>
    <t xml:space="preserve">3 years from installation</t>
  </si>
  <si>
    <t xml:space="preserve">Extension by written agreement of parties</t>
  </si>
  <si>
    <t xml:space="preserve">Customer-only: Lessee with or without cause on 30 days notice; either party for uncured breach (30 days) or insolvency</t>
  </si>
  <si>
    <t xml:space="preserve">Exhibit A fixed rates: Advanced Wave Mattress $32.00, Advanced Wave Mattress XMS $42.00 (Rotec VersaTech beds also in scope)</t>
  </si>
  <si>
    <t xml:space="preserve">Lessee pays FMV replacement for loss/theft after acceptance; Lessor liable for its negligence; mutual indemnity; consequential damages excluded; no assignment w/o consent; recall notice 24 hrs</t>
  </si>
  <si>
    <t xml:space="preserve">Rental of Advanced Wave mattresses and Rotec VersaTech beds to Cleveland Clinic and 10 eligible facilities (incl. Weston, FL). Customer can exit on 30 days.</t>
  </si>
  <si>
    <t xml:space="preserve">CommonSpirit Health</t>
  </si>
  <si>
    <t xml:space="preserve">CommonSpirit Health (FKA CHI, Dignity Health) and Affiliates</t>
  </si>
  <si>
    <t xml:space="preserve">CommonSpirit</t>
  </si>
  <si>
    <t xml:space="preserve">CSH-MM-156_CommonSpirit_Exp_3_31_28.pdf</t>
  </si>
  <si>
    <t xml:space="preserve">Direct (CSH-MM-156)</t>
  </si>
  <si>
    <t xml:space="preserve">US Med Equip, LLC</t>
  </si>
  <si>
    <t xml:space="preserve">2025-04-01</t>
  </si>
  <si>
    <t xml:space="preserve">2028-03-31</t>
  </si>
  <si>
    <t xml:space="preserve">None unless mutually agreed in writing</t>
  </si>
  <si>
    <t xml:space="preserve">Either party without cause, 60 days written notice; CSH may terminate immediately on Vendor change of control or repeated SLA failures</t>
  </si>
  <si>
    <t xml:space="preserve">CSH-specific Tier 1 daily/monthly rates per Section 2 (model-level list), 28-day monthly cap; patient beds excluded</t>
  </si>
  <si>
    <t xml:space="preserve">Fixed first 12 months; then max once per calendar year with documentation and written amendment, capped at lesser of 3% or CPI-U</t>
  </si>
  <si>
    <t xml:space="preserve">3% rebate to CSH entities, paid quarterly within 30 days of quarter end</t>
  </si>
  <si>
    <t xml:space="preserve">Not stated (no volume commitment found)</t>
  </si>
  <si>
    <t xml:space="preserve">Net 30 from receipt of undisputed invoice via EFT; invoices &gt;180 days late not payable; no late fees on rejected invoices</t>
  </si>
  <si>
    <t xml:space="preserve">IDN MFN price warranty (breach = termination right); FMV damage process; delivery 2 hrs + drive time; insurance up to $5M; change-of-control termination; transition assistance</t>
  </si>
  <si>
    <t xml:space="preserve">National peak-use rental agreement (infusion, monitoring, respiratory, infant care) covering all CommonSpirit facilities. Expressly supersedes and voids Premier PP-NS-1662 and related pricing for CSH.</t>
  </si>
  <si>
    <t xml:space="preserve">CommonSpirit Health (on behalf of itself and affiliates)</t>
  </si>
  <si>
    <t xml:space="preserve">CSH-MM-158_CommonSpirit_BTS_Exp_3_31_28.pdf</t>
  </si>
  <si>
    <t xml:space="preserve">BTS Rental, Restraints/Posey</t>
  </si>
  <si>
    <t xml:space="preserve">Direct (CSH-MM-158)</t>
  </si>
  <si>
    <t xml:space="preserve">Either party, 60 days written notice without cause; immediate for material breach</t>
  </si>
  <si>
    <t xml:space="preserve">National daily rental rates per Section 2 fee schedule</t>
  </si>
  <si>
    <t xml:space="preserve">Conflict: Sec 2 fixed 12 months then 1x/yr capped at lesser of 3% or CPI-U via written amendment; Std T&amp;C 2.2 says fixed for initial term</t>
  </si>
  <si>
    <t xml:space="preserve">3% rebate on service fees paid quarterly within 30 days (Schedule C); no GPO admin fee paid</t>
  </si>
  <si>
    <t xml:space="preserve">Net 30 from invoice receipt via EFT; no late fees on good-faith rejected invoices</t>
  </si>
  <si>
    <t xml:space="preserve">Vendor liable for damage it causes; mutual consequential damages waiver w/ carve-outs; audit reimbursement if overcharge &gt;=5%; assignment requires consent; extensive personnel screening; insurance incl. $3M/occurrence line</t>
  </si>
  <si>
    <t xml:space="preserve">National BTS agreement for CommonSpirit facilities; replaces prior arrangements. Requires corporate account manager and heavy vendor-credentialing compliance.</t>
  </si>
  <si>
    <t xml:space="preserve">Cook Children's</t>
  </si>
  <si>
    <t xml:space="preserve">Cook Children's Medical Center</t>
  </si>
  <si>
    <t xml:space="preserve">Cook Children  MSA BTS Repair_Exp_10_19_23_Auto_2026.pdf</t>
  </si>
  <si>
    <t xml:space="preserve">BTS Rental, Biomed/Repair Service</t>
  </si>
  <si>
    <t xml:space="preserve">2023-10-19</t>
  </si>
  <si>
    <t xml:space="preserve">2026-10-19 (or later expiration of any open SOW)</t>
  </si>
  <si>
    <t xml:space="preserve">3 years (or until all SOWs end, if later)</t>
  </si>
  <si>
    <t xml:space="preserve">No auto-renewal stated; MSA survives until all SOWs expire</t>
  </si>
  <si>
    <t xml:space="preserve">No convenience termination; breach with 60-day cure, insolvency, force majeure &gt;30 days (10 days notice), mutual agreement; USME may terminate on customer change of control</t>
  </si>
  <si>
    <t xml:space="preserve">Per SOW Program Budget (no SOW attached)</t>
  </si>
  <si>
    <t xml:space="preserve">Not stated (Program Budget changes require mutual written consent)</t>
  </si>
  <si>
    <t xml:space="preserve">Expressly non-exclusive</t>
  </si>
  <si>
    <t xml:space="preserve">Net 30 from invoice receipt (undisputed); late interest lesser of 1.5%/mo or TX max, compounded; collection costs</t>
  </si>
  <si>
    <t xml:space="preserve">USME liability capped at 12 months of fees for applicable SOW; no consequential damages; USME indemnifies for equipment damage in its custody; 12-mo non-solicit; USME CGL $1M/$3M</t>
  </si>
  <si>
    <t xml:space="preserve">Framework MSA for BTS rental and repair services; commercial terms live in SOWs not included in file. Filename 'Exp_10_19_23' is effective date; text gives 3-year term to 10/19/2026, expiring in 9 days absent active SOW.</t>
  </si>
  <si>
    <t xml:space="preserve">County of Los Angeles</t>
  </si>
  <si>
    <t xml:space="preserve">County of Los Angeles (Department of Health Services)</t>
  </si>
  <si>
    <t xml:space="preserve">LA County RT Biomed Exp 6.30.2028.pdf</t>
  </si>
  <si>
    <t xml:space="preserve">Biomed/Repair Service, Respiratory</t>
  </si>
  <si>
    <t xml:space="preserve">2024-10-17</t>
  </si>
  <si>
    <t xml:space="preserve">2028-06-30</t>
  </si>
  <si>
    <t xml:space="preserve">~3.7 years (2024-10-17 to 2028-06-30)</t>
  </si>
  <si>
    <t xml:space="preserve">County Director may extend at sole discretion on written notice</t>
  </si>
  <si>
    <t xml:space="preserve">County only, for convenience, at least 10 days notice; also non-appropriation of funds</t>
  </si>
  <si>
    <t xml:space="preserve">Maintenance fees per Exhibit B Rate Schedule (per-model PM/overhaul rates for respiratory equipment); hourly rate for additional services via Work Orders</t>
  </si>
  <si>
    <t xml:space="preserve">Rates effective through 2028-06-30; changes only by County-prepared amendment</t>
  </si>
  <si>
    <t xml:space="preserve">Non-exclusive master agreement</t>
  </si>
  <si>
    <t xml:space="preserve">Invoice in arrears; no payment for services after expiration</t>
  </si>
  <si>
    <t xml:space="preserve">95% uptime guarantee with tiered credits (to $500); &lt;80% uptime 5+ days = default; 4-hr service response; liquidated damages; broad indemnity; County approval for assignment/merger/change of control</t>
  </si>
  <si>
    <t xml:space="preserve">Master Agreement H-711223 for Respiratory Equipment Maintenance and Repair Services at DHS facilities. Must notify DHS 6 months before expiration. Heavy county compliance requirements (background checks, jury service, etc.).</t>
  </si>
  <si>
    <t xml:space="preserve">County of Los Angeles (DHS)</t>
  </si>
  <si>
    <t xml:space="preserve">County of Los Angeles, Department of Health Services</t>
  </si>
  <si>
    <t xml:space="preserve">County of Los Angeles_Service agreement_Exp_6_30_2028.pdf</t>
  </si>
  <si>
    <t xml:space="preserve">Direct (Master Agreement H-711223, via RFR)</t>
  </si>
  <si>
    <t xml:space="preserve">~3.7 years (through June 30, 2028)</t>
  </si>
  <si>
    <t xml:space="preserve">Director may extend term at sole discretion with prior written notice</t>
  </si>
  <si>
    <t xml:space="preserve">County-only, for convenience at sole discretion, effective &gt;=10 days after notice; also for default, non-appropriation, insolvency</t>
  </si>
  <si>
    <t xml:space="preserve">Exhibit B Rate Schedule: per-model PM/inspection fees by service category (e.g., Servo i PM $1,313) plus hourly rate for Additional Services; Work Orders capped at Maximum Fixed Price</t>
  </si>
  <si>
    <t xml:space="preserve">Rates effective through 2028-06-30; no escalator stated</t>
  </si>
  <si>
    <t xml:space="preserve">Non-exclusive; payment only for County-approved work</t>
  </si>
  <si>
    <t xml:space="preserve">Invoice monthly in arrears within 30 days of month-end; County approval required; no pay for post-expiration services</t>
  </si>
  <si>
    <t xml:space="preserve">Broad County indemnity (incl. confidentiality and IP); liquidated damages; 4-hr service call response; County approval for assignment/merger/change of control; background checks; CGL insurance required</t>
  </si>
  <si>
    <t xml:space="preserve">Respiratory equipment maintenance and repair at DHS facilities (e.g., Harbor-UCLA). Heavy public-agency compliance burden; USME must notify DHS 6 months before expiry.</t>
  </si>
  <si>
    <t xml:space="preserve">County of San Mateo</t>
  </si>
  <si>
    <t xml:space="preserve">County of San Mateo on behalf of San Mateo Medical Center</t>
  </si>
  <si>
    <t xml:space="preserve">San Mateo Medical Center</t>
  </si>
  <si>
    <t xml:space="preserve">San Mateo_Equip Rental Agmt_MME BTS_Exp 11_30_27.pdf</t>
  </si>
  <si>
    <t xml:space="preserve">2024-12-01</t>
  </si>
  <si>
    <t xml:space="preserve">2027-11-30</t>
  </si>
  <si>
    <t xml:space="preserve">May be extended by amendment</t>
  </si>
  <si>
    <t xml:space="preserve">Customer may terminate at any time (notice text garbled); customer may terminate immediately for lack of funding; 60-day breach cure</t>
  </si>
  <si>
    <t xml:space="preserve">Daily/monthly rates per pricing attachment; contract # KS08052025SMMC</t>
  </si>
  <si>
    <t xml:space="preserve">Fixed until 2nd anniversary; then max 1x/yr by greater of 5% or CPI-U</t>
  </si>
  <si>
    <t xml:space="preserve">Primary Vendor section blank</t>
  </si>
  <si>
    <t xml:space="preserve">Total payments capped at $200,000; customer liable for loss/damage; mutual indemnity; additional-insured and primary insurance requirements; county ordinance compliance (living wage, jury service, $2,500 LDs); CA law</t>
  </si>
  <si>
    <t xml:space="preserve">County contract with $200K not-to-exceed cap that could limit billing. Text partially garbled.</t>
  </si>
  <si>
    <t xml:space="preserve">Craig Hospital</t>
  </si>
  <si>
    <t xml:space="preserve">Craig Hospital Posey agreement Exp_08_02_29.pdf</t>
  </si>
  <si>
    <t xml:space="preserve">Restraints/Posey</t>
  </si>
  <si>
    <t xml:space="preserve">2026-08-03</t>
  </si>
  <si>
    <t xml:space="preserve">2029-08-02</t>
  </si>
  <si>
    <t xml:space="preserve">Customer may terminate without cause on 60 days notice during Initial Term; either party on 60 days after Initial Term</t>
  </si>
  <si>
    <t xml:space="preserve">Monthly rates per Attachment A: Posey 8060 Enclosure $700/month (qty 10); Primary Vendor pricing</t>
  </si>
  <si>
    <t xml:space="preserve">Primary Vendor: 90%+ of annual rental spend; 60-day cure, then list pricing for remainder of term</t>
  </si>
  <si>
    <t xml:space="preserve">Net 30 via ACH/wire; interest at max legal rate on past due; credit hold and list pricing on nonpayment</t>
  </si>
  <si>
    <t xml:space="preserve">Customer liable for loss/damage only from its negligence/misuse; mutual indemnity; no consequential damages; USME CGL $1M/$3M; customer insures replacement cost; customer may not assign</t>
  </si>
  <si>
    <t xml:space="preserve">New 2026 Posey enclosure rental agreement (10 units). Customer has a one-sided termination-for-convenience right during the initial term, which undercuts the 3-year term.</t>
  </si>
  <si>
    <t xml:space="preserve">CuraHealth</t>
  </si>
  <si>
    <t xml:space="preserve">Curahealth, LLC</t>
  </si>
  <si>
    <t xml:space="preserve">CuraHealth_MME_Exp12_3_2023_auto_renew.pdf</t>
  </si>
  <si>
    <t xml:space="preserve">Vizient (Preferred Partnership 90% LOC Tier 3 pricing; no contract # stated)</t>
  </si>
  <si>
    <t xml:space="preserve">2020-12-04</t>
  </si>
  <si>
    <t xml:space="preserve">2023-12-03 initial; auto-renewed, current term likely through 2026-12-03</t>
  </si>
  <si>
    <t xml:space="preserve">Auto-renews successive 1-yr terms unless either party cancels in writing 30 days before term end</t>
  </si>
  <si>
    <t xml:space="preserve">No termination for convenience; for uncured breach (60-day cure) or insolvency; non-renewal with 30 days notice</t>
  </si>
  <si>
    <t xml:space="preserve">Monthly rental rates per Attachment A at Vizient Preferred Partnership 90% LOC Tier 3 pricing; Contract # CH 10122020JD</t>
  </si>
  <si>
    <t xml:space="preserve">Not stated; equity option: 25% of monthly rental paid (up to 12 months) credited toward purchase</t>
  </si>
  <si>
    <t xml:space="preserve">Customer names USME primary first-call vendor for MME rental in exchange for Vizient Preferred Partnership pricing</t>
  </si>
  <si>
    <t xml:space="preserve">Monthly rent due on the 1st of each month; customer pays collection/attorney fees on default</t>
  </si>
  <si>
    <t xml:space="preserve">Customer responsible for safekeeping, loss/damage and abuse repairs; full replacement cost if not returned in good condition; GL $1M/$3M; mutual indemnity; customer may not assign</t>
  </si>
  <si>
    <t xml:space="preserve">Monthly MME/respiratory rental (ventilators, pumps, monitors, CPMs) to Curahealth. Auto-renewal keeps it in force absent a non-renewal notice; next renewal date ~12/3/2026, cancel notice by ~11/3/2026.</t>
  </si>
  <si>
    <t xml:space="preserve">DaVita</t>
  </si>
  <si>
    <t xml:space="preserve">DaVita Inc.</t>
  </si>
  <si>
    <t xml:space="preserve">Davita</t>
  </si>
  <si>
    <t xml:space="preserve">Davita _Exp_5_31_28.pdf</t>
  </si>
  <si>
    <t xml:space="preserve">Refurb Equipment Sales, MME Rental, Biomed/Repair Service</t>
  </si>
  <si>
    <t xml:space="preserve">US Med-Equip LLC (written 'US Medi-Equip LLC')</t>
  </si>
  <si>
    <t xml:space="preserve">2025-07-08 (Second Amendment; base Product Purchase Agreement eff. 2021-09-01)</t>
  </si>
  <si>
    <t xml:space="preserve">2028-05-31</t>
  </si>
  <si>
    <t xml:space="preserve">Not stated (term extended through 2028-05-31)</t>
  </si>
  <si>
    <t xml:space="preserve">Not stated in amendment (per base agreement)</t>
  </si>
  <si>
    <t xml:space="preserve">Restated Exhibit A: refurb pump sales (Spectrum $1,035.71, Medfusion 3500 $1,821.43), IV sets, rentals $49-$132.44/month, service $125/hr, PM $100</t>
  </si>
  <si>
    <t xml:space="preserve">Not stated; early payment discount removed</t>
  </si>
  <si>
    <t xml:space="preserve">Net 30 from AP receipt; monthly invoicing; customer may withhold disputed amounts; early-pay discount removed</t>
  </si>
  <si>
    <t xml:space="preserve">Title passes on delivery; DaVita pays shipping; orders ship ground within 24 hrs; free training and manuals required</t>
  </si>
  <si>
    <t xml:space="preserve">Second Amendment extends DaVita product purchase agreement to 5/31/2028 and replaces pricing; covers refurbished infusion pump sales, disposables, pump rentals and repair service. Entity name misspelled in the preamble.</t>
  </si>
  <si>
    <t xml:space="preserve">Department of Veterans Affairs</t>
  </si>
  <si>
    <t xml:space="preserve">Department of Veterans Affairs, Network Contract Office 17 (Amarillo VA Medical Center)</t>
  </si>
  <si>
    <t xml:space="preserve">Veteran Affairs Amarillo Medical Center</t>
  </si>
  <si>
    <t xml:space="preserve">Amendmen for VA Agreement_06.16.2026.pdf</t>
  </si>
  <si>
    <t xml:space="preserve">Direct (VA contract/order 36C25726R0023 per OCR; Mod P0002)</t>
  </si>
  <si>
    <t xml:space="preserve">2026-06-16 (contractor signature date; effective date block references 16c)</t>
  </si>
  <si>
    <t xml:space="preserve">Noncompliance with FAR 52.222-90 may result in cancellation, termination or suspension</t>
  </si>
  <si>
    <t xml:space="preserve">Adds FAR 52.222-90 (no racially discriminatory DEI activities); compliance material to payment under False Claims Act; flow-down to subcontractors required</t>
  </si>
  <si>
    <t xml:space="preserve">SF-30 Modification P0002 solely incorporating FAR 52.222-90 per EO 14398; no other changes. Signed by Clay Rose 6/16/2026; underlying VA contract terms not included.</t>
  </si>
  <si>
    <t xml:space="preserve">DispatchHealth</t>
  </si>
  <si>
    <t xml:space="preserve">Dispatch Health Management, LLC</t>
  </si>
  <si>
    <t xml:space="preserve">Dispatch Health</t>
  </si>
  <si>
    <t xml:space="preserve">Dispatch_Health_Amendment_exp 06_30_29.pdf</t>
  </si>
  <si>
    <t xml:space="preserve">2026-06-03 (amendment); extension term starts 2026-07-01</t>
  </si>
  <si>
    <t xml:space="preserve">3-year extension (base agreement dated 2025-07-02)</t>
  </si>
  <si>
    <t xml:space="preserve">Per underlying agreement (not stated in amendment)</t>
  </si>
  <si>
    <t xml:space="preserve">Exhibit A replaced: MME (oxygen concentrators, Kangaroo pump, Philips M10) and BTS (Freedom 500 bed, bariatric wheelchairs) daily/monthly rates</t>
  </si>
  <si>
    <t xml:space="preserve">Extends Dispatch Health rental agreement 7/1/2026-6/30/2029, replaces pricing, and adds 16 locations across OH, GA, TX, CO, NV, FL, AZ, VA, WA (Exhibit B). Signed 7/31/2026 by James Duvall (USME).</t>
  </si>
  <si>
    <t xml:space="preserve">Encompass Health</t>
  </si>
  <si>
    <t xml:space="preserve">Encompass Health Corporation</t>
  </si>
  <si>
    <t xml:space="preserve">Encompass_Exp_11_12_2023_auto_renewal.pdf</t>
  </si>
  <si>
    <t xml:space="preserve">Vizient CE7073</t>
  </si>
  <si>
    <t xml:space="preserve">2020-11-12</t>
  </si>
  <si>
    <t xml:space="preserve">2023-11-12 initial; auto-renews 1-yr (current term to ~2026-11-12)</t>
  </si>
  <si>
    <t xml:space="preserve">Auto-renews 1-yr terms unless cancelled 30 days before term end</t>
  </si>
  <si>
    <t xml:space="preserve">Either party, 60 days written notice without cause</t>
  </si>
  <si>
    <t xml:space="preserve">Monthly rates per Attachment A at Vizient Tier 3 Preferred Partnership (90% LOC) pricing</t>
  </si>
  <si>
    <t xml:space="preserve">Fixed for term (reductions only)</t>
  </si>
  <si>
    <t xml:space="preserve">Vizient admin fees apply; 25% equity discount on rental dollars (up to 12 months) toward purchase</t>
  </si>
  <si>
    <t xml:space="preserve">Dual-source MME vendor designation; credit standing required, DSO &lt;= 60 days</t>
  </si>
  <si>
    <t xml:space="preserve">Due 1st of each month; repossession right on non-payment</t>
  </si>
  <si>
    <t xml:space="preserve">Customer bears loss/damage and abuse repairs; USME indemnifies for customer use of equipment; CGL $1M/$3M; assignment requires consent; Delaware law</t>
  </si>
  <si>
    <t xml:space="preserve">Contract # EH 09152020JD. Vizient terms apply where more favorable to customer. Next renewal ~2026-11-12; cancellation window closes ~mid-Oct 2026.</t>
  </si>
  <si>
    <t xml:space="preserve">Encompass Health Rehabilitation Hospital of Northwest Tucson, L.P.</t>
  </si>
  <si>
    <t xml:space="preserve">Encompass Tucson</t>
  </si>
  <si>
    <t xml:space="preserve">Encompass Tucson_MME_BTS_Exp_3_31_2024_LR.pdf</t>
  </si>
  <si>
    <t xml:space="preserve">Freedom Medical, Inc.</t>
  </si>
  <si>
    <t xml:space="preserve">2019-06-14</t>
  </si>
  <si>
    <t xml:space="preserve">2024-03-31 (now rolling 30-day renewals)</t>
  </si>
  <si>
    <t xml:space="preserve">Through 2024-03-31 (~4.8 years)</t>
  </si>
  <si>
    <t xml:space="preserve">Auto-renews 30-day periods unless 30 days notice</t>
  </si>
  <si>
    <t xml:space="preserve">Either party on 30 days written notice after initial term; customer may terminate immediately for quality issues, rep breach, or hospital sale/closure</t>
  </si>
  <si>
    <t xml:space="preserve">Fixed daily/monthly rates per Exhibit A; beds at Tier 5 pricing schedule</t>
  </si>
  <si>
    <t xml:space="preserve">Net 30; invoices due by 10th of following month; invoices received 1+ year after service deemed paid</t>
  </si>
  <si>
    <t xml:space="preserve">Customer bears loss/damage at replacement cost; mutual negligence indemnity; no assignment without consent (FMI-to-USME assignment risk); insurance CGL $1M/$2M, auto $1M, umbrella $5M</t>
  </si>
  <si>
    <t xml:space="preserve">Legacy Freedom Medical contract for single Tucson rehab hospital; initial term ended 3/31/2024 and it has been running month-to-month. Filename '_LR' consistent; agreement names FMI, not USME.</t>
  </si>
  <si>
    <t xml:space="preserve">Englewood Post Acute</t>
  </si>
  <si>
    <t xml:space="preserve">Cherry Hills Healthcare, Inc. dba Englewood Post Acute and Rehabilitation</t>
  </si>
  <si>
    <t xml:space="preserve">Englewood</t>
  </si>
  <si>
    <t xml:space="preserve">Englewood Post Acute_Exp_04_18_2025_auto_2027.pdf</t>
  </si>
  <si>
    <t xml:space="preserve">2022-04-19</t>
  </si>
  <si>
    <t xml:space="preserve">2025-04-18 initial; renewals to 2027-04-18</t>
  </si>
  <si>
    <t xml:space="preserve">Two consecutive 12-month renewals unless either party gives 60 days notice of non-renewal</t>
  </si>
  <si>
    <t xml:space="preserve">Daily rental rates per Exhibit A (Freedom Comfort/Advanced Wave mattresses, $8.25-$55.00/day)</t>
  </si>
  <si>
    <t xml:space="preserve">Firm for 36 months; thereafter not stated</t>
  </si>
  <si>
    <t xml:space="preserve">Customer to use FMI as primary medical equipment rental provider (no % stated)</t>
  </si>
  <si>
    <t xml:space="preserve">Net 30 from invoice; 1.5%/month on invoices 60+ days past due; no offset; billing disputes within 90 days</t>
  </si>
  <si>
    <t xml:space="preserve">Customer liable for loss/damage from receipt to return at current market value; FMI liability limited to repair/replace/refund, no consequential damages; mutual indemnity; arbitration</t>
  </si>
  <si>
    <t xml:space="preserve">Legacy Freedom Medical therapeutic surface rental agreement for a post-acute facility. Assumed in second renewal period through 4/18/2027 absent non-renewal notice.</t>
  </si>
  <si>
    <t xml:space="preserve">Erlanger Health</t>
  </si>
  <si>
    <t xml:space="preserve">Chattanooga-Hamilton County Hospital Authority d/b/a Erlanger Health System</t>
  </si>
  <si>
    <t xml:space="preserve">Erlanger_MME_Exp_10_7_2021_Auto renew.pdf</t>
  </si>
  <si>
    <t xml:space="preserve">Vizient (Access / LOC Tier 2 / LOC Tier 3 pricing; contract no. not stated)</t>
  </si>
  <si>
    <t xml:space="preserve">2018-10-08 (OCR date partial)</t>
  </si>
  <si>
    <t xml:space="preserve">2021-10-07 initial; auto-renews 1-yr (current term to ~2027-10-07)</t>
  </si>
  <si>
    <t xml:space="preserve">No termination for convenience; breach (60-day cure) or insolvency only</t>
  </si>
  <si>
    <t xml:space="preserve">Daily/monthly rates per Attachment A by Vizient Access, LOC Tier 2 and LOC Tier 3 columns</t>
  </si>
  <si>
    <t xml:space="preserve">25% equity discount on rental dollars (up to 12 months) toward purchase</t>
  </si>
  <si>
    <t xml:space="preserve">Net 30 (text also references net 60 - conflicting); PO required per delivery</t>
  </si>
  <si>
    <t xml:space="preserve">Customer bears loss/damage; delivery included F.O.B. destination; USME pays medical device tax; full new-unit replacement charge if not returned in good condition; CGL $1M/$3M</t>
  </si>
  <si>
    <t xml:space="preserve">Contract # 070118THCHCHA covering Hamilton County TN facilities. Remains in effect via 1-yr auto-renewals absent cancellation.</t>
  </si>
  <si>
    <t xml:space="preserve">Grandview Medical Center (CHS / CHSPSC)</t>
  </si>
  <si>
    <t xml:space="preserve">Affinity Hospital LLC d/b/a Grandview Medical Center</t>
  </si>
  <si>
    <t xml:space="preserve">Grandview Medical Center</t>
  </si>
  <si>
    <t xml:space="preserve">Grandview Asset Mgt_rental_Exp_3_31_2028_LR.pdf</t>
  </si>
  <si>
    <t xml:space="preserve">Asset Mgmt/On-site, MME Rental, Biomed/Repair Service, Respiratory</t>
  </si>
  <si>
    <t xml:space="preserve">HPG-7093 (rental pricing) with CHSPSC Group SIP</t>
  </si>
  <si>
    <t xml:space="preserve">US Med-Equip (US Med-Equip LLC)</t>
  </si>
  <si>
    <t xml:space="preserve">2023-04-01</t>
  </si>
  <si>
    <t xml:space="preserve">Not explicitly stated; 5-year commitment implies 2028-03-31</t>
  </si>
  <si>
    <t xml:space="preserve">Either party without cause, 90 days written notice; $60,000 termination fee if Grandview terminates without cause in first 12 months</t>
  </si>
  <si>
    <t xml:space="preserve">Asset management fixed fee $37,397/month plus $10,000 one-time startup; rental at HPG-7093/CHSPSC SIP pricing; respiratory PM price list at HPG price (discount to list)</t>
  </si>
  <si>
    <t xml:space="preserve">Rental pricing held firm through term; more favorable renewed HPG/SIP pricing prevails</t>
  </si>
  <si>
    <t xml:space="preserve">5-year commitment; 4 on-site USME staff (team lead + 3) covering 1,910 hospital-owned devices</t>
  </si>
  <si>
    <t xml:space="preserve">USME indemnifies Grandview; insurance CGL $1M/$2M, professional $1M/$3M, cyber $5M/$10M, product $1M/$3M; loss/damage on party at fault; Grandview may terminate if force majeure &gt;30 days</t>
  </si>
  <si>
    <t xml:space="preserve">Proposal-form agreement (dated 2023-02-28) for on-site asset management with STAR Trax RFID at Grandview. Filename _LR; expiration inferred from 5-yr term.</t>
  </si>
  <si>
    <t xml:space="preserve">Hackensack Meridian Health</t>
  </si>
  <si>
    <t xml:space="preserve">Hackensack Meridian Health Network</t>
  </si>
  <si>
    <t xml:space="preserve">Hackensack Meridian</t>
  </si>
  <si>
    <t xml:space="preserve">Hackensack_Meridian_Health_MME_agreement_Exp_12_31_2030.pdf</t>
  </si>
  <si>
    <t xml:space="preserve">2025-01-01</t>
  </si>
  <si>
    <t xml:space="preserve">2029-12-31 per 5-yr term (filename says 2030-12-31)</t>
  </si>
  <si>
    <t xml:space="preserve">After Initial Term, either party without cause on 30 days written notice; 60-day cure for breach</t>
  </si>
  <si>
    <t xml:space="preserve">Daily/monthly rates per Attachment A (Primary Vendor pricing); list pricing if commitment breached</t>
  </si>
  <si>
    <t xml:space="preserve">Fixed for first 2 years; then once per contract year, up to greater of 5% or prior-year Medical Care CPI-U, 30 days notice</t>
  </si>
  <si>
    <t xml:space="preserve">Rebate template (Att. C): 2% for 1 vertical, 4% for 2, 6% for 3 (MME, BTS, ASAP); requires net 30 DSO, ACH, EMR integration, QBRs</t>
  </si>
  <si>
    <t xml:space="preserve">Primary vendor: 90%+ of annual rental spend at Covered Facilities (Att. B); 60-day cure or list pricing for remaining term</t>
  </si>
  <si>
    <t xml:space="preserve">Net 30; 1.5%/month late interest; credit hold and repossession rights</t>
  </si>
  <si>
    <t xml:space="preserve">Customer bears loss/damage and insures at replacement cost; full new-equipment cost if not returned; mutual indemnity; no consequential damages; Texas law, Harris County venue</t>
  </si>
  <si>
    <t xml:space="preserve">Favorable USME paper: Texas law, 90% commitment, price escalator after year 2, no early convenience termination. 5-year term from 1/1/2025 ends 12/31/2029, conflicting with filename's 2030.</t>
  </si>
  <si>
    <t xml:space="preserve">HCA Healthcare / HealthTrust (HPG)</t>
  </si>
  <si>
    <t xml:space="preserve">HealthTrust Purchasing Group, L.P. (HealthTrust and HCA)</t>
  </si>
  <si>
    <t xml:space="preserve">GPO/HealthTrust</t>
  </si>
  <si>
    <t xml:space="preserve">HPG MME S2_7093_Amendment_extension_exp 6_30_2027.pdf</t>
  </si>
  <si>
    <t xml:space="preserve">HPG agreement no. 143302 (filed under HPG-7093)</t>
  </si>
  <si>
    <t xml:space="preserve">2027-06-30</t>
  </si>
  <si>
    <t xml:space="preserve">Original agreement dated 2020-08-01</t>
  </si>
  <si>
    <t xml:space="preserve">Extension to 2027-06-30</t>
  </si>
  <si>
    <t xml:space="preserve">Not stated (per underlying agreement)</t>
  </si>
  <si>
    <t xml:space="preserve">Not stated (unchanged per underlying agreement)</t>
  </si>
  <si>
    <t xml:space="preserve">One-page amendment extending the Aug 1, 2020 HCA/HealthTrust MME pricing agreement (No. 143302) to 6/30/2027; signed by Doug Murray (CRO) June 2026. Text references both 'Pricing Agreement' and 'Purchasing Agreement'.</t>
  </si>
  <si>
    <t xml:space="preserve">Healthbridge Children's Hospital</t>
  </si>
  <si>
    <t xml:space="preserve">Healthbridge Children's Hospital_MME_BTS_Exp 04_15_2029_auto.pdf</t>
  </si>
  <si>
    <t xml:space="preserve">2026-04-16</t>
  </si>
  <si>
    <t xml:space="preserve">2029-04-15</t>
  </si>
  <si>
    <t xml:space="preserve">Either party without cause, 60 days notice, only after Initial Term</t>
  </si>
  <si>
    <t xml:space="preserve">Daily/monthly rates per Attachment A; Primary Vendor pricing</t>
  </si>
  <si>
    <t xml:space="preserve">Firm until 2nd anniversary; then 1 increase per contract year up to greater of 5% or Medical Care CPI-U, 30 days notice</t>
  </si>
  <si>
    <t xml:space="preserve">Primary Vendor: 90%+ of annual rental spend; 60-day cure then list pricing for remainder of term</t>
  </si>
  <si>
    <t xml:space="preserve">Net 30 via ACH/wire; interest at max legal rate; credit hold and list pricing on additional equipment for late pay</t>
  </si>
  <si>
    <t xml:space="preserve">Customer bears loss/damage; must insure equipment at replacement cost; mutual indemnity; no consequential damages; USME GL $1M/$3M; Texas law, Harris County</t>
  </si>
  <si>
    <t xml:space="preserve">Current USME template with stronger protections: escalator, list-price fallback, credit-hold remedies. Covered Facilities in Attachment B.</t>
  </si>
  <si>
    <t xml:space="preserve">HealthTrust (HPG)</t>
  </si>
  <si>
    <t xml:space="preserve">Genesis Health Inc. dba Brooks Rehabilitation</t>
  </si>
  <si>
    <t xml:space="preserve">Brooks Rehab</t>
  </si>
  <si>
    <t xml:space="preserve">Brooks Rehab SIP BTS Exp 9_30_2027.pdf</t>
  </si>
  <si>
    <t xml:space="preserve">HPG-77980</t>
  </si>
  <si>
    <t xml:space="preserve">2024-08-01 (signed 2025-03-26)</t>
  </si>
  <si>
    <t xml:space="preserve">Not stated (tied to HPG-77980; filename 2027-09-30)</t>
  </si>
  <si>
    <t xml:space="preserve">Facility, 30 days notice; HealthTrust, 30 days notice; Vendor may terminate SIP only for missed commitment after 60-day cure</t>
  </si>
  <si>
    <t xml:space="preserve">Per HPG-77980 pricing</t>
  </si>
  <si>
    <t xml:space="preserve">3% rebate on Covered Product purchases, paid annually to HealthTrust within 60 days of calendar year end</t>
  </si>
  <si>
    <t xml:space="preserve">Facility/Group commits to 80% of requirements for rental beds, surfaces and equipment</t>
  </si>
  <si>
    <t xml:space="preserve">Rebate obligation continues through date of facility termination</t>
  </si>
  <si>
    <t xml:space="preserve">HPG SIP facility and group acknowledgement for Brooks Rehab, Jacksonville FL. Expiry follows HPG-77980 (extended to 9/30/2027).</t>
  </si>
  <si>
    <t xml:space="preserve">HealthTrust Purchasing Group, L.P.</t>
  </si>
  <si>
    <t xml:space="preserve">HealthTrust_HCA-Beds_incl amendment_HPG-77980_exp 09.30.2027.pdf</t>
  </si>
  <si>
    <t xml:space="preserve">US Med-Equip, LLC (amendment); Freedom Medical, Inc. (original agreement)</t>
  </si>
  <si>
    <t xml:space="preserve">2022-10-01 (amendment 2025-03-17)</t>
  </si>
  <si>
    <t xml:space="preserve">3 years (orig. exp. 2025-09-30)</t>
  </si>
  <si>
    <t xml:space="preserve">HealthTrust option for two 1-yr extensions by amendment; extended to 2027-09-30</t>
  </si>
  <si>
    <t xml:space="preserve">HealthTrust only, 60 days written notice without cause</t>
  </si>
  <si>
    <t xml:space="preserve">Fixed daily/monthly rates per Exhibit A/AA; multi-source award; direct purchase</t>
  </si>
  <si>
    <t xml:space="preserve">Firm/fixed from Effective Date through Expiration Date</t>
  </si>
  <si>
    <t xml:space="preserve">3% GPO fee monthly; rebates per Exhibit C, paid monthly; SIP forms: 8% growth rebate template</t>
  </si>
  <si>
    <t xml:space="preserve">Multi-source; no minimums; members may exit existing contracts to use HPG pricing</t>
  </si>
  <si>
    <t xml:space="preserve">Net 60; 2% discount if paid in 10 days; 1%/month late fee provisions; must accept e-payment programs</t>
  </si>
  <si>
    <t xml:space="preserve">95% fill rate; 2 hr + drive time delivery; vendor replaces items damaged in transit; change of control provisions; must add new category products at comparable pricing or HealthTrust may terminate</t>
  </si>
  <si>
    <t xml:space="preserve">HCA/HealthTrust national beds/surfaces agreement originally with Freedom Medical; 2025 amendment names USME, refreshes Exhibit A pricing and extends term. Amendment recites agreement date inconsistently (Oct 2022 vs Feb 2025).</t>
  </si>
  <si>
    <t xml:space="preserve">HealthTrust_HCA_Amendment extension_exp 7_31_2029.pdf</t>
  </si>
  <si>
    <t xml:space="preserve">HPG-7093</t>
  </si>
  <si>
    <t xml:space="preserve">2025-08-01</t>
  </si>
  <si>
    <t xml:space="preserve">2029-07-31</t>
  </si>
  <si>
    <t xml:space="preserve">Extension of agreement dated 2021-08-01</t>
  </si>
  <si>
    <t xml:space="preserve">Unchanged; per underlying HPG-7093 Rental - Moveable Medical Equipment agreement</t>
  </si>
  <si>
    <t xml:space="preserve">One-page amendment extending HPG-7093 (Rental - MME) expiration to 7/31/2029; all other terms unchanged. Filename references HCA but document names HealthTrust only.</t>
  </si>
  <si>
    <t xml:space="preserve">Summa Health System</t>
  </si>
  <si>
    <t xml:space="preserve">Summa Health</t>
  </si>
  <si>
    <t xml:space="preserve">Summa Health SIP agreement.pdf</t>
  </si>
  <si>
    <t xml:space="preserve">2026-02-17 (signed; HPG-7093 effective 2021-08-01)</t>
  </si>
  <si>
    <t xml:space="preserve">Not stated (tied to HPG-7093, extended to 2029-07-31)</t>
  </si>
  <si>
    <t xml:space="preserve">Group may exit SIP on 30 days notice; HealthTrust 30 days; vendor only for non-compliance after 60-day cure</t>
  </si>
  <si>
    <t xml:space="preserve">SIP Committed Price per HPG-7093 Exhibit A</t>
  </si>
  <si>
    <t xml:space="preserve">80% of requirements for Products</t>
  </si>
  <si>
    <t xml:space="preserve">Recently signed HPG SIP for Summa Health; facility list left blank (spreadsheet may be attached).</t>
  </si>
  <si>
    <t xml:space="preserve">HPG MME HPG7093 Extension Exp 7.31.29.pdf</t>
  </si>
  <si>
    <t xml:space="preserve">Not stated (Agreement dated 2021-08-01)</t>
  </si>
  <si>
    <t xml:space="preserve">Not stated; parties warrant they will not seek to rescind the amendment</t>
  </si>
  <si>
    <t xml:space="preserve">Per existing HPG-7093 Agreement (unchanged)</t>
  </si>
  <si>
    <t xml:space="preserve">Current controlling extension of the HPG-7093 national MME rental agreement, through 7/31/2029. All other terms unchanged.</t>
  </si>
  <si>
    <t xml:space="preserve">Henry Mayo Newhall Hospital</t>
  </si>
  <si>
    <t xml:space="preserve">Henry Mayo Newhall Memorial Hospital</t>
  </si>
  <si>
    <t xml:space="preserve">Henry Mayo</t>
  </si>
  <si>
    <t xml:space="preserve">Henry Mayo Newhall Memorial Hospital_MME_BTS_Exp_9_20_2025_Auto_2026_LR.pdf</t>
  </si>
  <si>
    <t xml:space="preserve">2022-09-21</t>
  </si>
  <si>
    <t xml:space="preserve">2025-09-20 initial; auto-renewed, current term through 2026-09-20 then 2027-09-20</t>
  </si>
  <si>
    <t xml:space="preserve">Monthly rental fee per Attachment A; Primary Vendor pricing</t>
  </si>
  <si>
    <t xml:space="preserve">Not stated; 25% equity discount on MME rental dollars (up to 12 months) toward buyout; 50% lost-equipment buyout credit</t>
  </si>
  <si>
    <t xml:space="preserve">Primary Vendor: 90%+ of annual rental spend for MME and beds/therapeutic surfaces</t>
  </si>
  <si>
    <t xml:space="preserve">Net 30; repossession after notifying CFO with 5-day cure</t>
  </si>
  <si>
    <t xml:space="preserve">Customer bears loss/damage and abuse repairs; full new-unit cost if not returned in good condition; mutual indemnity; USME GL $1M/$3M; California law</t>
  </si>
  <si>
    <t xml:space="preserve">Contract # HM092022TH. Easy 30-day convenience exit despite primary vendor commitment.</t>
  </si>
  <si>
    <t xml:space="preserve">Hurley Medical Center</t>
  </si>
  <si>
    <t xml:space="preserve">Hurley Medical</t>
  </si>
  <si>
    <t xml:space="preserve">Hurley Medical Center Agreement BTS_Exp_06_5_2030_auto_renewal.pdf</t>
  </si>
  <si>
    <t xml:space="preserve">Direct (Vizient pricing parity clause)</t>
  </si>
  <si>
    <t xml:space="preserve">2025-06-06</t>
  </si>
  <si>
    <t xml:space="preserve">2030-06-05 (initial term; then auto-renews)</t>
  </si>
  <si>
    <t xml:space="preserve">Auto-renews for successive 1-yr terms</t>
  </si>
  <si>
    <t xml:space="preserve">Either party with or without cause, 60 days prior notice (Sec. 8.1); Sec. 2 also allows 60-day termination after Initial Term</t>
  </si>
  <si>
    <t xml:space="preserve">Attachment A daily/monthly primary vendor pricing; list pricing if 80% commitment breached and uncured</t>
  </si>
  <si>
    <t xml:space="preserve">Not stated; must extend any lower Vizient GPO pricing for same products prospectively</t>
  </si>
  <si>
    <t xml:space="preserve">Primary vendor: 80%+ of annual rental spend for Attachment B facilities; 60-day cure else list pricing</t>
  </si>
  <si>
    <t xml:space="preserve">Net 30 via ACH/wire; interest at max legal rate; credit hold / repossession rights</t>
  </si>
  <si>
    <t xml:space="preserve">Customer liable for loss/damage and must insure at replacement cost; replacement cost charged if not returned; mutual indemnity; CGL $1M/$3M; Vizient price-parity (MFN-like) clause; Harris County TX venue</t>
  </si>
  <si>
    <t xml:space="preserve">Bariatric/therapeutic beds and surfaces rental for Hurley (Michigan). Section 8.1 termination for convenience at any time on 60 days notice undercuts 5-yr term.</t>
  </si>
  <si>
    <t xml:space="preserve">iMedical / Bon Secours Mercy Health</t>
  </si>
  <si>
    <t xml:space="preserve">iMedical (managing rentals for Bon Secours Mercy Health VA and OH locations)</t>
  </si>
  <si>
    <t xml:space="preserve">iMedical</t>
  </si>
  <si>
    <t xml:space="preserve">iMedical_BTS_Exp_4_30_2025_ext 2027.pdf</t>
  </si>
  <si>
    <t xml:space="preserve">2021-09-01</t>
  </si>
  <si>
    <t xml:space="preserve">2025-04-30 initial; two 12-month renewals run to 2027-04-30</t>
  </si>
  <si>
    <t xml:space="preserve">Through 2025-04-30 (or earlier end of iMedical-BSM agreement)</t>
  </si>
  <si>
    <t xml:space="preserve">Renews for two consecutive 12-month periods unless either party gives 60 days non-renewal notice</t>
  </si>
  <si>
    <t xml:space="preserve">For cause only (30-day cure); early cancellation without cause triggers default invoicing (difference to standard pricing)</t>
  </si>
  <si>
    <t xml:space="preserve">Rental rates per Exhibit B Rental Pricing Schedule (exhibit blank in scan)</t>
  </si>
  <si>
    <t xml:space="preserve">Firm through 2025-04-30 (term of iMedical's BSM agreement); renewal pricing not stated</t>
  </si>
  <si>
    <t xml:space="preserve">FMI exclusive rental supplier of therapeutic support surfaces and bariatric bed frames for BSM VA/OH locations; breach triggers repricing to standard rates</t>
  </si>
  <si>
    <t xml:space="preserve">Net 30; 1.5%/month on invoices 60+ days past due; may suspend on 5 days notice; no offset</t>
  </si>
  <si>
    <t xml:space="preserve">Customer liable for loss/damage from receipt to return at replacement cost; FMI liability limited to repair/replace/refund, no consequential damages; mutual indemnity; PA law</t>
  </si>
  <si>
    <t xml:space="preserve">Sub-rental arrangement via iMedical for Bon Secours Mercy Health hospitals; includes QBRs, annual utilization reports, in-servicing. Filename 'ext 2027' consistent with two 12-month renewals; Exhibits A/B blank in scan.</t>
  </si>
  <si>
    <t xml:space="preserve">Infirmary Health</t>
  </si>
  <si>
    <t xml:space="preserve">Infirmary Health Hospitals, Inc. d/b/a Infirmary LTAC Hospital</t>
  </si>
  <si>
    <t xml:space="preserve">Infirmary LTAC Hospital</t>
  </si>
  <si>
    <t xml:space="preserve">Infirmary Health_Vizient_Tier 1_Exp_2_11_2011_Auto renew.pdf</t>
  </si>
  <si>
    <t xml:space="preserve">Not stated in text (filename says Vizient Tier 1)</t>
  </si>
  <si>
    <t xml:space="preserve">2018-02-12</t>
  </si>
  <si>
    <t xml:space="preserve">2021-02-11 initial term; auto-renewing</t>
  </si>
  <si>
    <t xml:space="preserve">Auto-renews successive 1-yr terms unless cancelled 30 days before term end</t>
  </si>
  <si>
    <t xml:space="preserve">Non-renewal by either party 30 days before term end; Company may terminate for customer breach (30-day cure)</t>
  </si>
  <si>
    <t xml:space="preserve">Primary Vendor pricing per Attachment A (e.g. PB 980 vent $71.14/day, $1,992/mo); 25% equity discount up to 12 months</t>
  </si>
  <si>
    <t xml:space="preserve">Primary vendor: 90%+ of annual MME rental spend</t>
  </si>
  <si>
    <t xml:space="preserve">Due on 1st of each month</t>
  </si>
  <si>
    <t xml:space="preserve">Customer responsible for loss/damage and abuse repairs; full new-unit cost if not returned; USME CGL $1M/$3M; Alabama law, Mobile County venue</t>
  </si>
  <si>
    <t xml:space="preserve">Contract 02072018, ventilator-focused pricing. Filename 'Exp_2_11_2011' is a typo for 2021. Auto-renews annually, so likely still in effect unless cancelled.</t>
  </si>
  <si>
    <t xml:space="preserve">Kaiser Permanente</t>
  </si>
  <si>
    <t xml:space="preserve">Kaiser Vacaville Hospital Foundation</t>
  </si>
  <si>
    <t xml:space="preserve">Kaiser Vacaville</t>
  </si>
  <si>
    <t xml:space="preserve">Kaiser Vacaville Hospital_Posey_Exp_03_4_25_auto_renew.pdf</t>
  </si>
  <si>
    <t xml:space="preserve">2024-09-05</t>
  </si>
  <si>
    <t xml:space="preserve">2025-03-04 initial; auto-renewing 6-month terms (current term to 2027-03-04)</t>
  </si>
  <si>
    <t xml:space="preserve">6 months</t>
  </si>
  <si>
    <t xml:space="preserve">Auto-renews successive 6-month terms unless cancelled 30 days before term end</t>
  </si>
  <si>
    <t xml:space="preserve">Non-renewal by either party 30 days before term end; no convenience termination; early equipment return requires paying remainder of rental term</t>
  </si>
  <si>
    <t xml:space="preserve">Posey Enclosure Bed billed $45/unit monthly; 1 unit</t>
  </si>
  <si>
    <t xml:space="preserve">Due 30 days from monthly invoice; collection costs</t>
  </si>
  <si>
    <t xml:space="preserve">Customer pays full new replacement cost for lost/damaged equipment; customer-only indemnity of USME; Texas law, Harris County venue</t>
  </si>
  <si>
    <t xml:space="preserve">Single Posey enclosure bed rental stored on-site. Customer signature block blank in text; agreement date lacks year in body (USME signed 9/5/2024).</t>
  </si>
  <si>
    <t xml:space="preserve">Lehigh Valley Health Network (LVHN)</t>
  </si>
  <si>
    <t xml:space="preserve">Lehigh Valley Health Network, Inc. (for its wholly owned non-profit subsidiaries)</t>
  </si>
  <si>
    <t xml:space="preserve">LVHN Equipment and Service Agreement_Exp_3_4_2026_incl amend.pdf</t>
  </si>
  <si>
    <t xml:space="preserve">MME Rental, BTS Rental, Biomed/Repair Service, Asset Mgmt/On-site</t>
  </si>
  <si>
    <t xml:space="preserve">2024-03-01</t>
  </si>
  <si>
    <t xml:space="preserve">2026-02-28 initial; auto-renewed to 2027-02-28</t>
  </si>
  <si>
    <t xml:space="preserve">2 years</t>
  </si>
  <si>
    <t xml:space="preserve">Auto-renews 1-yr terms unless 60 days notice</t>
  </si>
  <si>
    <t xml:space="preserve">After initial term, either party without cause on 60 days written notice</t>
  </si>
  <si>
    <t xml:space="preserve">MME daily/monthly Primary Vendor rates per Attachment A; SOW #1 on-site BMET services $12,395/month (3-yr SOW to 2027-02-28)</t>
  </si>
  <si>
    <t xml:space="preserve">Primary vendor: 90%+ of annual rental spend for Attachment A equipment; 60-day cure, else market rates</t>
  </si>
  <si>
    <t xml:space="preserve">Net 30 from invoice; late interest 1.5%/month</t>
  </si>
  <si>
    <t xml:space="preserve">95% monthly fill rate guarantee (USME pays cost difference); customer liable for loss/damage from negligence; mutual indemnity; no consequential damages; CGL $1M/$2M, products $8M, cyber $10M</t>
  </si>
  <si>
    <t xml:space="preserve">Includes Amendment No. 1 (beds at HPG-77980 pricing) and SOW #1 for on-site biomed technician services. Filename exp 3/4/2026 vs text initial term ending ~2/28/2026, now auto-renewed.</t>
  </si>
  <si>
    <t xml:space="preserve">Lehigh Valley Health Network Inc. (for its wholly owned subsidiaries)</t>
  </si>
  <si>
    <t xml:space="preserve">LVHN Equipment and Service agreement_Exp_2_28_2026.pdf</t>
  </si>
  <si>
    <t xml:space="preserve">MME Rental, Biomed/Repair Service, Asset Mgmt/On-site</t>
  </si>
  <si>
    <t xml:space="preserve">2026-02-28 initial; auto-renewed through 2027-02-28 absent notice</t>
  </si>
  <si>
    <t xml:space="preserve">Auto-renews successive 1-yr terms unless 60 days notice before renewal</t>
  </si>
  <si>
    <t xml:space="preserve">Either party, 60 days written notice without cause after Initial Term; 60-day cure for breach</t>
  </si>
  <si>
    <t xml:space="preserve">Monthly rental fees per Attachment A; Primary Vendor pricing; on-site BMET service fees per SOW Annex 3</t>
  </si>
  <si>
    <t xml:space="preserve">Rental equity discount: 25% of monthly rental credit toward buyout (up to 12 months)</t>
  </si>
  <si>
    <t xml:space="preserve">Primary Vendor: 90%+ of annual rental spend; 60-day cure, else market rates</t>
  </si>
  <si>
    <t xml:space="preserve">Net 30; late interest lesser of 1.5%/month or legal max; 15-day late notice before remedies</t>
  </si>
  <si>
    <t xml:space="preserve">95% monthly fill rate guarantee, USME pays cost difference for substitute products; customer liable for loss/damage only if negligent; insurance: products $8M, E&amp;O $5M, cyber $10M; mutual indemnity</t>
  </si>
  <si>
    <t xml:space="preserve">Combined MME rental and on-site BMET/biomed SOW (RFID tracking, PM/repair of hospital-owned equipment, M-F 8-5). Initial term ended 2/28/2026; auto-renewal likely in effect.</t>
  </si>
  <si>
    <t xml:space="preserve">Lehigh Valley Health Network, Inc.</t>
  </si>
  <si>
    <t xml:space="preserve">LVHN Amendment_Exp_2_28_2026.pdf</t>
  </si>
  <si>
    <t xml:space="preserve">HPG-77980 (bed pricing basis)</t>
  </si>
  <si>
    <t xml:space="preserve">2024-03-05</t>
  </si>
  <si>
    <t xml:space="preserve">Not stated (base agreement auto-renews; current term to 2027-02-28)</t>
  </si>
  <si>
    <t xml:space="preserve">Base: 2 years from 2024-03-01</t>
  </si>
  <si>
    <t xml:space="preserve">Base auto-renews 1-yr terms</t>
  </si>
  <si>
    <t xml:space="preserve">Per base agreement</t>
  </si>
  <si>
    <t xml:space="preserve">Adds hospital/specialty bed rentals (bariatric, wound care) for LVH-Macungie and LVH-Gilbertsville at HealthTrust HPG-77980 published pricing</t>
  </si>
  <si>
    <t xml:space="preserve">Amendment No. 1 clarifies customer as LVHN and its affiliates and adds as-needed bed rentals at two affiliates. Filename exp 2/28/2026 reflects base initial term, which auto-renews.</t>
  </si>
  <si>
    <t xml:space="preserve">Lehigh Valley Health Network</t>
  </si>
  <si>
    <t xml:space="preserve">SOW_Lehigh_Valley_Bed_Tech_Services_Exp_6_30_27.pdf</t>
  </si>
  <si>
    <t xml:space="preserve">Biomed/Repair Service, Asset Mgmt/On-site, BTS Rental</t>
  </si>
  <si>
    <t xml:space="preserve">2025-07-01</t>
  </si>
  <si>
    <t xml:space="preserve">2 years (body also references 36 working months)</t>
  </si>
  <si>
    <t xml:space="preserve">Only by written agreement of both parties</t>
  </si>
  <si>
    <t xml:space="preserve">Per Section 8 of MSA (breach/insolvency)</t>
  </si>
  <si>
    <t xml:space="preserve">$52,500/month for 5 on-site bed technicians; Nuvay Arctic mattress replacements $895-$1,595 each</t>
  </si>
  <si>
    <t xml:space="preserve">Per MSA (net 30)</t>
  </si>
  <si>
    <t xml:space="preserve">LVHN supplies PM kits/parts; exclusions for abuse, misuse, water/fire damage; 12-month non-solicit of USME staff</t>
  </si>
  <si>
    <t xml:space="preserve">SOW #2: five full-time on-site bed technicians (Cedar Crest, Hecktown Oaks, Muhlenberg) for PM/repair of hospital-owned beds, RFID tracking, foam mattress audits. Term text conflict: 2 years vs 36 months.</t>
  </si>
  <si>
    <t xml:space="preserve">LHC Group</t>
  </si>
  <si>
    <t xml:space="preserve">LHC Group, Inc.</t>
  </si>
  <si>
    <t xml:space="preserve">LHC</t>
  </si>
  <si>
    <t xml:space="preserve">LHC _EXP_5_14_2020_Auto_2024.pdf</t>
  </si>
  <si>
    <t xml:space="preserve">2019-05-15</t>
  </si>
  <si>
    <t xml:space="preserve">2027-05-14 (current auto-renewal term, if never cancelled)</t>
  </si>
  <si>
    <t xml:space="preserve">Auto-renews successive 1-yr terms unless either party cancels 30 days before term end</t>
  </si>
  <si>
    <t xml:space="preserve">Customer only: any time on 60 days written notice; breach with 60-day cure</t>
  </si>
  <si>
    <t xml:space="preserve">Daily/monthly rates per Attachment A (Sole Source Vendor pricing); 25% equity discount toward buyout up to 12 months</t>
  </si>
  <si>
    <t xml:space="preserve">Sole source: 90%+ of annual MME rental spend</t>
  </si>
  <si>
    <t xml:space="preserve">Due 30 days from receipt of invoice</t>
  </si>
  <si>
    <t xml:space="preserve">Customer liable for loss/damage from negligence and abuse plus USME enforcement costs; full new-unit cost if not surrendered; USME CGL $1M/$3M; lost-equipment 50% buyout credit</t>
  </si>
  <si>
    <t xml:space="preserve">Contract LHC040819TH. Filename 'Auto_2024' implies renewals tracked only through 2024; text auto-renews indefinitely, so confirm whether still billing.</t>
  </si>
  <si>
    <t xml:space="preserve">Mayo Clinic</t>
  </si>
  <si>
    <t xml:space="preserve">Mayo Foundation for Medical Education and Research (on behalf of affiliates)</t>
  </si>
  <si>
    <t xml:space="preserve">Mayo LaCrosse</t>
  </si>
  <si>
    <t xml:space="preserve">Mayo La Crosse Services Amendment Exp_07_28.pdf</t>
  </si>
  <si>
    <t xml:space="preserve">Asset Mgmt/On-site</t>
  </si>
  <si>
    <t xml:space="preserve">2025-07 (day blank; amendment to agreement dated 2023-06-06)</t>
  </si>
  <si>
    <t xml:space="preserve">Not stated (filename: 2028-07)</t>
  </si>
  <si>
    <t xml:space="preserve">Not stated (per Existing Agreement)</t>
  </si>
  <si>
    <t xml:space="preserve">Monthly service fee increased from $31,674 to $40,031</t>
  </si>
  <si>
    <t xml:space="preserve">Amendment No. 1 to Non-Medical Services Agreement expanding on-site coverage (M-F 7am-11pm, Sat-Sun 7am-7pm CT) and adding 1 FTE + 1 PTE. Expiration not in text; filename indicates July 2028.</t>
  </si>
  <si>
    <t xml:space="preserve">Mayo La Crosse Master Services Agreement Captis_Exp_7_4_28_LR.pdf</t>
  </si>
  <si>
    <t xml:space="preserve">2023-07-05</t>
  </si>
  <si>
    <t xml:space="preserve">2028-07-04</t>
  </si>
  <si>
    <t xml:space="preserve">No termination for convenience: mutual agreement, for cause (30-day cure), breach, insolvency, regulatory change (90 days), force majeure &gt;90 days (10 days)</t>
  </si>
  <si>
    <t xml:space="preserve">Per Statement of Work (not included)</t>
  </si>
  <si>
    <t xml:space="preserve">Non-exclusive</t>
  </si>
  <si>
    <t xml:space="preserve">Net 30 from receipt of invoice; EFT; EDI setup within 60 days on request</t>
  </si>
  <si>
    <t xml:space="preserve">CGL $3M/$5M, property $500K, auto $1M, umbrella $1M, WC; Mayo additional insured; contractor indemnifies Mayo; staff replacement within 7 days on request; no subcontracting without consent</t>
  </si>
  <si>
    <t xml:space="preserve">Non-Medical Services Agreement USM-315455 for on-site equipment management at Mayo (La Crosse). Filename references Captis but text has no GPO terms; SOW pricing not in file.</t>
  </si>
  <si>
    <t xml:space="preserve">Methodist Health System (Dallas)</t>
  </si>
  <si>
    <t xml:space="preserve">Methodist Hospitals of Dallas d/b/a Methodist Health System</t>
  </si>
  <si>
    <t xml:space="preserve">Methodist Hospitals of Dallas</t>
  </si>
  <si>
    <t xml:space="preserve">Methodist_DFW_Master_Service_Agreement_Exp_04_30_2028.pdf</t>
  </si>
  <si>
    <t xml:space="preserve">Direct (GPO price-parity clause)</t>
  </si>
  <si>
    <t xml:space="preserve">2025-05-01</t>
  </si>
  <si>
    <t xml:space="preserve">2028-04-30 (initial term; then auto-renews)</t>
  </si>
  <si>
    <t xml:space="preserve">Either party without cause, 30 days written notice; customer may also terminate for service shortfall (30-day cure), better pricing to other GPOs/competitors, or unavailable new technology</t>
  </si>
  <si>
    <t xml:space="preserve">Exhibit A primary vendor daily/monthly rates; list pricing if 90% commitment breached and uncured in 60 days</t>
  </si>
  <si>
    <t xml:space="preserve">Firm for Initial Term; must match more favorable pricing given to customer's GPO</t>
  </si>
  <si>
    <t xml:space="preserve">Quarterly rebate: 2% for one vertical (MME or BTS) as primary, 4% each if both; paid within 45 days of quarter; requires ACH, DSO 30, EMR integration effort</t>
  </si>
  <si>
    <t xml:space="preserve">Primary vendor: 90%+ of annual rental spend (MME and BTS); Sec. 15 states no minimum service requirements</t>
  </si>
  <si>
    <t xml:space="preserve">Net 30; FOB Destination; ACH required for rebate</t>
  </si>
  <si>
    <t xml:space="preserve">USME responsible for damage it causes (customer may offset repair costs); broad USME indemnity; CGL and professional $1M/$3M; customer termination for insurance lapse; GPO price-parity (MFN)</t>
  </si>
  <si>
    <t xml:space="preserve">Replaces prior agreements with Methodist Health System (Dallas). Customer holds multiple broad termination/renegotiation rights despite 3-yr term.</t>
  </si>
  <si>
    <t xml:space="preserve">Methodist Le Bonheur Healthcare</t>
  </si>
  <si>
    <t xml:space="preserve">Methodist LeBonheur</t>
  </si>
  <si>
    <t xml:space="preserve">Methodist_LeBonheur_MME_BTS_Exp_10_10_2028_LR.pdf</t>
  </si>
  <si>
    <t xml:space="preserve">2023-10-11</t>
  </si>
  <si>
    <t xml:space="preserve">2028-10-10</t>
  </si>
  <si>
    <t xml:space="preserve">60 months</t>
  </si>
  <si>
    <t xml:space="preserve">Primary Vendor pricing per Attachment A (monthly rental rates)</t>
  </si>
  <si>
    <t xml:space="preserve">Fixed 2 years; then once per contract year up to greater of 5% or prior-year Medical Care CPI-U, 30 days notice</t>
  </si>
  <si>
    <t xml:space="preserve">3% annual rebate on bed and therapeutic surface rentals, paid 45 days after calendar year; 25% equity credit and lost-equipment policy</t>
  </si>
  <si>
    <t xml:space="preserve">Primary vendor: 90% of annual rental spend for Attachment A equipment; &gt;5% shortfall, 60-day cure then market rates</t>
  </si>
  <si>
    <t xml:space="preserve">Net 30 from receipt; late interest 1.5%/month (18%/yr)</t>
  </si>
  <si>
    <t xml:space="preserve">Customer liable for loss/damage in custody and must insure at replacement cost; USME bears recall costs; mutual indemnity; CGL $1M/$3M; mutual assignment consent</t>
  </si>
  <si>
    <t xml:space="preserve">Contract #MLH09192023MS covering Methodist Le Bonheur entities (Attachment B). Either party can exit on 30 days, so commitment is soft despite 5-yr term.</t>
  </si>
  <si>
    <t xml:space="preserve">Montage Health (CHOMP)</t>
  </si>
  <si>
    <t xml:space="preserve">CHOMP_BTS_Exp_1_31_26.pdf</t>
  </si>
  <si>
    <t xml:space="preserve">Vizient (Tier 4 pricing referenced)</t>
  </si>
  <si>
    <t xml:space="preserve">2023-02-01</t>
  </si>
  <si>
    <t xml:space="preserve">2026-01-31 initial; auto-renewed, current term through 2027-01-31</t>
  </si>
  <si>
    <t xml:space="preserve">Either party without cause, 90 days written notice</t>
  </si>
  <si>
    <t xml:space="preserve">Monthly rental fee per Attachment A; Primary Vendor pricing; Vizient Tier 4 daily rates (e.g., Freedom 1000 $67.50/day)</t>
  </si>
  <si>
    <t xml:space="preserve">Not stated; value adds include 25% rental equity credit (up to 12 months) and 50% lost-equipment buyout credit</t>
  </si>
  <si>
    <t xml:space="preserve">Primary Vendor: 90%+ of annual rental spend for Covered Facilities (Attachment B); consignment equipment on site at no charge until used</t>
  </si>
  <si>
    <t xml:space="preserve">Net 30; USME may repossess on non-payment</t>
  </si>
  <si>
    <t xml:space="preserve">Customer liable for loss/damage and abuse repairs; full new-unit cost if not surrendered in good condition; mutual indemnity; USME GL $1M/$3M; California law</t>
  </si>
  <si>
    <t xml:space="preserve">Consignment model for peak need with customer usage reporting. Contract # UCIMC10112022TH appears carried over from another template. Filename BTS; text covers MME primary vendor and BTS surfaces.</t>
  </si>
  <si>
    <t xml:space="preserve">Mount Sinai Health System</t>
  </si>
  <si>
    <t xml:space="preserve">The Mount Sinai Hospital, Icahn School of Medicine, St. Luke's-Roosevelt, NY Eye and Ear Infirmary, South Nassau Communities Hospital, 5 East 98th Street LLC</t>
  </si>
  <si>
    <t xml:space="preserve">Mount Sinai</t>
  </si>
  <si>
    <t xml:space="preserve">Mount_Sinai_ agreement MME_Exp_07_31_2030.pdf</t>
  </si>
  <si>
    <t xml:space="preserve">Premier PP-NS-1662</t>
  </si>
  <si>
    <t xml:space="preserve">2030-07-31</t>
  </si>
  <si>
    <t xml:space="preserve">Mount Sinai and USME each may terminate on 30 days written notice</t>
  </si>
  <si>
    <t xml:space="preserve">Primary Vendor daily/monthly rates per Attachment A</t>
  </si>
  <si>
    <t xml:space="preserve">Firm 2 years; then max once per contract year by greater of 2% or prior-year Medical Care CPI-U, 30 days notice</t>
  </si>
  <si>
    <t xml:space="preserve">Rebate: 2% for primary supplier in two verticals, 4% for three (MME, BTS, ASAP); paid annually within 30 days</t>
  </si>
  <si>
    <t xml:space="preserve">Primary vendor: 90%+ of annual rental spend; rebate requires 90% MME/BTS and 100% ASAP, ACH, EMR integration</t>
  </si>
  <si>
    <t xml:space="preserve">Net 45; written late notice with 30-day cure before credit hold; interest at max lawful rate</t>
  </si>
  <si>
    <t xml:space="preserve">Customer liable for loss/damage; FOB destination with USME freight risk; mutual indemnity; CGL $10M/$20M; mutual assignment consent; each entity pays separately</t>
  </si>
  <si>
    <t xml:space="preserve">Established as an amendment to Premier PP-NS-1662 and bound by its terms, but PP-NS-1662 expired 11/30/2025, so the governing master needs confirming. Contract # JS03192025MS.</t>
  </si>
  <si>
    <t xml:space="preserve">Mountain View Regional</t>
  </si>
  <si>
    <t xml:space="preserve">Las Cruces Medical Center LLC d/b/a Mountain View Regional Medical Center</t>
  </si>
  <si>
    <t xml:space="preserve">Mountain View Sept 2017_AR_TH_exp_9_14_2020_auto renewal.pdf</t>
  </si>
  <si>
    <t xml:space="preserve">2017-09-15</t>
  </si>
  <si>
    <t xml:space="preserve">2020-09-14 initial; auto-renews 1-yr (current term to 2027-09-14 if not cancelled)</t>
  </si>
  <si>
    <t xml:space="preserve">Auto-renews successive 1-yr terms unless 30 days written notice</t>
  </si>
  <si>
    <t xml:space="preserve">No termination for convenience in text (only non-renewal on 30 days notice; breach by Company w/30-day cure)</t>
  </si>
  <si>
    <t xml:space="preserve">Primary Vendor pricing per Attachment A (monthly rates); 25% equity discount toward purchase for up to 12 months</t>
  </si>
  <si>
    <t xml:space="preserve">Primary vendor: 95%+ of annual MME rental spend</t>
  </si>
  <si>
    <t xml:space="preserve">Rent due 1st of month</t>
  </si>
  <si>
    <t xml:space="preserve">Customer liable for loss/damage/abuse; monthly RFID verification audit by USME; mutual indemnity; USME GL $1M/$3M</t>
  </si>
  <si>
    <t xml:space="preserve">Evergreen MME rental with monthly physical asset audit and RFID tagging obligation; 2017 grace period for competitive switch-out. Verify still active.</t>
  </si>
  <si>
    <t xml:space="preserve">Nash UNC Health Care</t>
  </si>
  <si>
    <t xml:space="preserve">Nash Hospital, Inc.</t>
  </si>
  <si>
    <t xml:space="preserve">Nash</t>
  </si>
  <si>
    <t xml:space="preserve">Nash_Hospital_Exp_7_31_28.pdf</t>
  </si>
  <si>
    <t xml:space="preserve">2028-07-31</t>
  </si>
  <si>
    <t xml:space="preserve">No convenience termination; termination only on Event of Default</t>
  </si>
  <si>
    <t xml:space="preserve">Exhibit A committed schedule: 11 standard ($1,120/mo) + 5 bariatric ($1,400/mo) Advanced Wave mattress systems = $19,320/mo for 12 months; Exhibit B daily bed/surface rates</t>
  </si>
  <si>
    <t xml:space="preserve">Primary provider for Exhibit B equipment; 12-month committed rental of 16 units; USME exclusive service provider</t>
  </si>
  <si>
    <t xml:space="preserve">Due 30 days after invoice date</t>
  </si>
  <si>
    <t xml:space="preserve">One-way customer indemnity to USME; USME may repossess on default; defaulting party pays fees; TX law, Houston venue</t>
  </si>
  <si>
    <t xml:space="preserve">Contract Nash06242025DA. Committed mattress schedule is 12 months (from 8/1/2025) within a 3-year agreement.</t>
  </si>
  <si>
    <t xml:space="preserve">Natividad Medical Center (County of Monterey)</t>
  </si>
  <si>
    <t xml:space="preserve">County of Monterey on behalf of Natividad Medical Center</t>
  </si>
  <si>
    <t xml:space="preserve">Natividad Medical Ctr</t>
  </si>
  <si>
    <t xml:space="preserve">Natividad Medical Center_Exp_10_17_2026_Auto Renewal.pdf</t>
  </si>
  <si>
    <t xml:space="preserve">2023-10-18</t>
  </si>
  <si>
    <t xml:space="preserve">2026-10-17 initial; auto-renews</t>
  </si>
  <si>
    <t xml:space="preserve">After Initial Term, either party without cause on 30 days written notice</t>
  </si>
  <si>
    <t xml:space="preserve">Monthly rates per Attachment A Primary Vendor pricing</t>
  </si>
  <si>
    <t xml:space="preserve">Fixed until 2nd anniversary; then max once per contract year by greater of 5% or Medical Care CPI-U, 30 days notice</t>
  </si>
  <si>
    <t xml:space="preserve">Primary vendor 80%+ of annual rental spend (MME and BTS); commitment void unless USME fills 100% of requests</t>
  </si>
  <si>
    <t xml:space="preserve">Net 30 from receipt by Monterey County Auditor-Controller; credit hold/market rates on nonpayment</t>
  </si>
  <si>
    <t xml:space="preserve">Customer liable for loss/damage and unreported damage; broad USME indemnity of County; CGL $1M/$3M, auto $500K, EL $1M; County additional insured; CA law, Monterey venue</t>
  </si>
  <si>
    <t xml:space="preserve">Initial term ends 10/17/2026 and rolls to 1-yr renewal; price increase right available now. Fill-rate carve-out weakens the 80% commitment.</t>
  </si>
  <si>
    <t xml:space="preserve">Nebraska Methodist Health System</t>
  </si>
  <si>
    <t xml:space="preserve">Nebraska Methodist Health System, Inc. (and affiliates)</t>
  </si>
  <si>
    <t xml:space="preserve">Nebraska Methodist</t>
  </si>
  <si>
    <t xml:space="preserve">Nebraska Methodist_BTS_Exp_04_14_28.pdf</t>
  </si>
  <si>
    <t xml:space="preserve">Direct (Vizient/MSS reporting)</t>
  </si>
  <si>
    <t xml:space="preserve">2025-04-15 (date of last signature)</t>
  </si>
  <si>
    <t xml:space="preserve">2028-04-14</t>
  </si>
  <si>
    <t xml:space="preserve">MHS only, 90 days written notice without cause; either party 30-day cure for breach</t>
  </si>
  <si>
    <t xml:space="preserve">Pricing per Exhibit B.1 (primary vendor, market-share) and B.2 (non-commitment)</t>
  </si>
  <si>
    <t xml:space="preserve">Firm for full term</t>
  </si>
  <si>
    <t xml:space="preserve">Supplier reports sales and pays Vizient/MSS admin fees where products are on those agreements</t>
  </si>
  <si>
    <t xml:space="preserve">Primary Vendor: 80%+ of annual rental spend for Exhibit B.1 equipment</t>
  </si>
  <si>
    <t xml:space="preserve">ACH payment at invoice due date (thirty days); optional GHX ePay 10-day pay less 2%</t>
  </si>
  <si>
    <t xml:space="preserve">Mutual indemnity; no consequential damages (carve-out for supplier gross negligence); insurance $1M/$3M; supplier may not assign without consent; FOB destination; NE law</t>
  </si>
  <si>
    <t xml:space="preserve">Applies to direct and SSS distributor purchases. New evolutionary products added at current pricing.</t>
  </si>
  <si>
    <t xml:space="preserve">NewYork-Presbyterian</t>
  </si>
  <si>
    <t xml:space="preserve">The New York and Presbyterian Hospital; NewYork-Presbyterian/Queens; Hudson Valley Hospital Center</t>
  </si>
  <si>
    <t xml:space="preserve">New York Presbyterian</t>
  </si>
  <si>
    <t xml:space="preserve">NYP_Enterprise_Agreement_for_Vizient_Products_and_Services_Exp_09_30_29.pdf</t>
  </si>
  <si>
    <t xml:space="preserve">Vizient CE7782</t>
  </si>
  <si>
    <t xml:space="preserve">2025-12-01</t>
  </si>
  <si>
    <t xml:space="preserve">2029-09-30</t>
  </si>
  <si>
    <t xml:space="preserve">~46 months</t>
  </si>
  <si>
    <t xml:space="preserve">Either party, 90 days written notice without cause; 30-day cure for breach</t>
  </si>
  <si>
    <t xml:space="preserve">Custom daily/monthly rates per Exhibit A (may differ from Vizient pricing)</t>
  </si>
  <si>
    <t xml:space="preserve">Firm through Term</t>
  </si>
  <si>
    <t xml:space="preserve">Annual sales volume rebate 3% ($1M) to 5% ($5M+); void if hospital joins Vizient Impact Standardization; Vizient admin fees apply</t>
  </si>
  <si>
    <t xml:space="preserve">80% of annual MME rental spend (Exhibit C), with exceptions</t>
  </si>
  <si>
    <t xml:space="preserve">Net 30; 1% discount if paid in 10 days by ACH/wire; 1%/month late interest; 30 days notice before credit hold</t>
  </si>
  <si>
    <t xml:space="preserve">Cannot suspend critical patient care products; strict software/security warranties; 7-year record retention; NY law</t>
  </si>
  <si>
    <t xml:space="preserve">Hospital-level pricing agreement under Vizient CE7782, outlasting the 9/30/2027 Vizient term. BTS can be added if NYP starts purchasing.</t>
  </si>
  <si>
    <t xml:space="preserve">Nobis Rehabilitation Partners</t>
  </si>
  <si>
    <t xml:space="preserve">Nobis Rehabilitation Partners (as Manager for Customers in Attachment B)</t>
  </si>
  <si>
    <t xml:space="preserve">Nobis Rehab</t>
  </si>
  <si>
    <t xml:space="preserve">Nobis_Rehab_Agreement_MME_BTS_Exp_11_30_26_Auto Renewal.pdf</t>
  </si>
  <si>
    <t xml:space="preserve">Vizient CE7073; Vizient CE3363</t>
  </si>
  <si>
    <t xml:space="preserve">2023-12-01</t>
  </si>
  <si>
    <t xml:space="preserve">2026-11-30 (auto-renews 1-yr)</t>
  </si>
  <si>
    <t xml:space="preserve">Auto-renews successive 1-yr periods</t>
  </si>
  <si>
    <t xml:space="preserve">Either party without cause on 30 days written notice; breach w/60-day cure</t>
  </si>
  <si>
    <t xml:space="preserve">Vizient Tier 3 (90% committed) rates on CE7073 and CE3363 (Attachment A daily rates)</t>
  </si>
  <si>
    <t xml:space="preserve">Primary vendor: 90%+ of annual rental spend on CE7073/CE3363 products</t>
  </si>
  <si>
    <t xml:space="preserve">Customer liable for loss/damage; full new replacement cost if not returned; mutual indemnity; USME GL $1M/$3M</t>
  </si>
  <si>
    <t xml:space="preserve">Covers Nobis rehab hospitals (e.g., Oklahoma City, Shreveport). Manager has no direct purchase obligation. Initial term ends 11/30/2026 then auto-renews.</t>
  </si>
  <si>
    <t xml:space="preserve">North Memorial Health</t>
  </si>
  <si>
    <t xml:space="preserve">North Memorial Health Care</t>
  </si>
  <si>
    <t xml:space="preserve">North Memorial HealthCare</t>
  </si>
  <si>
    <t xml:space="preserve">First Amendment to NMHC Equipment Mgt Service Agreement_06_30_27_Auto.pdf</t>
  </si>
  <si>
    <t xml:space="preserve">Asset Mgmt/On-site, MME Rental</t>
  </si>
  <si>
    <t xml:space="preserve">US Med-Equip, LLC (assignee of Freedom Medical, Inc.)</t>
  </si>
  <si>
    <t xml:space="preserve">2025-11-07</t>
  </si>
  <si>
    <t xml:space="preserve">5 years (orig. 2021-04-29 to 2026-06-30) + 1-yr extension</t>
  </si>
  <si>
    <t xml:space="preserve">Per underlying agreement (not stated)</t>
  </si>
  <si>
    <t xml:space="preserve">Extension term (7/1/26-6/30/27) flat $94,103.60/mo: pool staffing $50,884 ($35,104 NMH, $15,780 Maple Grove) + 240 overage pumps at $180.04/mo</t>
  </si>
  <si>
    <t xml:space="preserve">Fixed for extension term</t>
  </si>
  <si>
    <t xml:space="preserve">Per underlying agreement</t>
  </si>
  <si>
    <t xml:space="preserve">Title to 640 Baxter Spectrum IQ pumps transfers to customer at no cost 6/30/26; 240 overage pumps transfer 6/30/27 contingent on full performance; MN law</t>
  </si>
  <si>
    <t xml:space="preserve">Assigns FMI equipment management agreement to USME and extends one year. Covers North Memorial and Maple Grove hospitals. Filename says 'Auto' but no auto-renewal in amendment text.</t>
  </si>
  <si>
    <t xml:space="preserve">Ochsner Health</t>
  </si>
  <si>
    <t xml:space="preserve">Ochsner Clinic Foundation</t>
  </si>
  <si>
    <t xml:space="preserve">Ochsner</t>
  </si>
  <si>
    <t xml:space="preserve">Ochsner Clinic Foundation_Vizient_MME_Exp9_30_29_auto renew.pdf</t>
  </si>
  <si>
    <t xml:space="preserve">MME Rental, Respiratory, Asset Mgmt/On-site</t>
  </si>
  <si>
    <t xml:space="preserve">Direct (Contract # OH07262024JD)</t>
  </si>
  <si>
    <t xml:space="preserve">2024-10-01</t>
  </si>
  <si>
    <t xml:space="preserve">Either party with or without cause, 90 days written notice</t>
  </si>
  <si>
    <t xml:space="preserve">Primary Vendor daily/monthly rates per Attachment A; 50% rental equity toward lost equipment, 25% equity toward purchase</t>
  </si>
  <si>
    <t xml:space="preserve">Fixed for term (pricing effective throughout term)</t>
  </si>
  <si>
    <t xml:space="preserve">Primary vendor: 90%+ of annual rental spend; after 60-day cure, list pricing for remaining term</t>
  </si>
  <si>
    <t xml:space="preserve">Net 30; late interest up to 1.5%/month (18%/yr); credit hold/list pricing on delinquency</t>
  </si>
  <si>
    <t xml:space="preserve">Customer liable for loss/damage (excl. wear); mutual indemnity; no consequential damages; CGL $1M/$3M primary, no insured-v-insured exclusion; mutual consent to assign; LA statutory employer</t>
  </si>
  <si>
    <t xml:space="preserve">Covers ~40 Ochsner LA/MS hospitals (Attachment B). Monthly rental-age reports and RFID scans owed. Filename references Vizient but text is a direct agreement with no Vizient contract cited.</t>
  </si>
  <si>
    <t xml:space="preserve">OU Health</t>
  </si>
  <si>
    <t xml:space="preserve">OU Medicine, Inc. d/b/a OU Health</t>
  </si>
  <si>
    <t xml:space="preserve">OU Health_Rental Agreement_Exp_10_31_27_auto renew.pdf</t>
  </si>
  <si>
    <t xml:space="preserve">2024-11-01</t>
  </si>
  <si>
    <t xml:space="preserve">2027-10-31 (initial term; then auto-renews)</t>
  </si>
  <si>
    <t xml:space="preserve">Attachment A daily/monthly MME rental rates (contract #09042024JD)</t>
  </si>
  <si>
    <t xml:space="preserve">Pricing effective through term (fixed)</t>
  </si>
  <si>
    <t xml:space="preserve">Net 30; late interest lower of 1.5%/month or legal max; credit hold, repossession and list pricing on non-payment</t>
  </si>
  <si>
    <t xml:space="preserve">Customer liable for loss/damage and must insure at replacement cost; full replacement cost if not returned; mutual indemnity; CGL $1M/$3M; Harris County TX venue</t>
  </si>
  <si>
    <t xml:space="preserve">Standard USME MME rental agreement for OU Health with broad monitoring, infusion and respiratory price list.</t>
  </si>
  <si>
    <t xml:space="preserve">Partners Cooperative</t>
  </si>
  <si>
    <t xml:space="preserve">Partners Cooperative, Inc.</t>
  </si>
  <si>
    <t xml:space="preserve">Partners Coop - Asset Management</t>
  </si>
  <si>
    <t xml:space="preserve">Partners Cooperative Asset Manage_Exp_8_31_27_ext 2029.pdf</t>
  </si>
  <si>
    <t xml:space="preserve">Partners Cooperative PC-SVC90</t>
  </si>
  <si>
    <t xml:space="preserve">2024-09-01</t>
  </si>
  <si>
    <t xml:space="preserve">2027-08-31 (up to 2029-08-31 with renewals)</t>
  </si>
  <si>
    <t xml:space="preserve">Two 1-yr renewals automatic unless 30 days non-renewal notice</t>
  </si>
  <si>
    <t xml:space="preserve">Either party, without cause, 90 days written notice; member end-user agreements: member 30 days, USME 90 days</t>
  </si>
  <si>
    <t xml:space="preserve">Per member End-User Service Agreement/SOW pricing (Attachment A/B)</t>
  </si>
  <si>
    <t xml:space="preserve">2% GPO fee on total gross revenue from members, paid monthly within 30 days; also Vizient fees if contracted</t>
  </si>
  <si>
    <t xml:space="preserve">Non-exclusive; no commitment</t>
  </si>
  <si>
    <t xml:space="preserve">Member pays undisputed invoices within 30 days; late interest 1.5%/month</t>
  </si>
  <si>
    <t xml:space="preserve">USME liability capped at 12 months' fees for applicable SOW; consequential damages excluded</t>
  </si>
  <si>
    <t xml:space="preserve">GPO fee agreement plus template Member Services Agreement/SOW for asset management. Filename 'ext 2029' matches the two 1-yr renewal options, not a signed extension.</t>
  </si>
  <si>
    <t xml:space="preserve">PARTNERS Cooperative, Inc.</t>
  </si>
  <si>
    <t xml:space="preserve">Partners Coop MME - CE71</t>
  </si>
  <si>
    <t xml:space="preserve">USME Partners Coop CE71 MME Exp 9_30_2028_ext 2030.pdf</t>
  </si>
  <si>
    <t xml:space="preserve">Partners Cooperative CE71</t>
  </si>
  <si>
    <t xml:space="preserve">2027-09-30 per cover page (filename says 2028-09-30, ext 2030)</t>
  </si>
  <si>
    <t xml:space="preserve">3 years per Sec. 13(a)</t>
  </si>
  <si>
    <t xml:space="preserve">Auto-renews two 1-yr terms unless 30 days notice of non-renewal</t>
  </si>
  <si>
    <t xml:space="preserve">Either party without cause on 90 days written notice; 30 days for material breach; member End-User Agreements: member 30 days, vendor 90 days</t>
  </si>
  <si>
    <t xml:space="preserve">Exhibit A pricing fixed for Initial Term; A-Tier GPO most-competitive pricing obligation</t>
  </si>
  <si>
    <t xml:space="preserve">Fixed for Initial Term; then annually by CPI-U capped at 2%; unauthorized increase is material breach</t>
  </si>
  <si>
    <t xml:space="preserve">0.5% GPO fee on total gross revenue, monthly; 1% cash rebate to 90% primary-provider members; extra 1% bonus if annual Partners volume &gt;$7M</t>
  </si>
  <si>
    <t xml:space="preserve">No mandatory commitment; 1% rebate requires 90% LOC primary provider; DSO &lt;=30 days for rebates</t>
  </si>
  <si>
    <t xml:space="preserve">Members: 1% 10 days via ACH, net 30</t>
  </si>
  <si>
    <t xml:space="preserve">MFN-style A-Tier pricing with 10-business-day price-correction duty; 95% fill-rate commitment; delivery &lt;=10 days; Partners audit rights; surcharges must be disclosed</t>
  </si>
  <si>
    <t xml:space="preserve">Partners Co-op (Southeast IDN cooperative) MME rental agreement. Dates conflict: cover says 1/1/2025 to 9/30/2027 (3 years would end 12/31/2027); filename says 9/30/2028 with extension to 2030.</t>
  </si>
  <si>
    <t xml:space="preserve">Partners Coop - Refurbished</t>
  </si>
  <si>
    <t xml:space="preserve">USME Partners Refurb Equip Sale_EXP 3_30_2028.pdf</t>
  </si>
  <si>
    <t xml:space="preserve">Refurb Equipment Sales</t>
  </si>
  <si>
    <t xml:space="preserve">Partners PC-CE61</t>
  </si>
  <si>
    <t xml:space="preserve">US Med-Equip (text also names 'MEDLINE' as VENDOR - template error)</t>
  </si>
  <si>
    <t xml:space="preserve">36 months</t>
  </si>
  <si>
    <t xml:space="preserve">Option to renew for two 1-yr terms</t>
  </si>
  <si>
    <t xml:space="preserve">Either party without cause, 30 days written notice; Partners may terminate immediately on failure to supply/recall</t>
  </si>
  <si>
    <t xml:space="preserve">Exhibit A refurb sale prices at 20% off list (e.g., Servo-i U $10,500; Mac 5500 $4,250; Alaris 8015 $1,034.80)</t>
  </si>
  <si>
    <t xml:space="preserve">Fixed 36 months; vendor may modify not more than once annually with documentation via written amendment</t>
  </si>
  <si>
    <t xml:space="preserve">3% quarterly GPO fee on paid sales, due within 30 days of quarter end</t>
  </si>
  <si>
    <t xml:space="preserve">None; A-Tier GPO best pricing obligation (10-business-day response to non-compliant pricing)</t>
  </si>
  <si>
    <t xml:space="preserve">Net 30 to Distribution Centers; member terms per member requirement; FOB destination</t>
  </si>
  <si>
    <t xml:space="preserve">1-yr warranty (90 days accessories/repairs); CGL $1M/$3M; no consequential damages; innovative tech capped at 10% over replaced tech</t>
  </si>
  <si>
    <t xml:space="preserve">Refurbished MME sales (vents, monitors, infusion, bladder scanners) to Partners members. Vendor named 'MEDLINE' in opening paragraph - drafting error to correct. Filename expiry 3/30/2028 vs computed 3/31/2028.</t>
  </si>
  <si>
    <t xml:space="preserve">Baptist Health (Baptist Health System, Jacksonville FL)</t>
  </si>
  <si>
    <t xml:space="preserve">Baptist Health</t>
  </si>
  <si>
    <t xml:space="preserve">BTS_LOC_Baptist_Jacksonville_exp_6_10_2028_ext 2030.pdf</t>
  </si>
  <si>
    <t xml:space="preserve">Partners Cooperative CE69</t>
  </si>
  <si>
    <t xml:space="preserve">US Med-Equip, Inc. (text); US Med-Equip, LLC on price file</t>
  </si>
  <si>
    <t xml:space="preserve">2025-02-01</t>
  </si>
  <si>
    <t xml:space="preserve">Upon expiration/termination of the underlying Agreement (filename: 2028-06-10, ext 2030)</t>
  </si>
  <si>
    <t xml:space="preserve">Coterminous with Agreement</t>
  </si>
  <si>
    <t xml:space="preserve">Partners Cooperative CE69 published daily pricing (Exhibit B)</t>
  </si>
  <si>
    <t xml:space="preserve">Minimum 90% of annual BTS spend with USME on specialty wound care products; utilization reports bi-annually</t>
  </si>
  <si>
    <t xml:space="preserve">DSO not to exceed Net 30; consolidated invoice by campus paid on one invoice</t>
  </si>
  <si>
    <t xml:space="preserve">USME must deliver/pick up within 24 hrs, supply nurse-call cables, daily census report incl. patient names, monthly spend reports</t>
  </si>
  <si>
    <t xml:space="preserve">Covers Baptist Health Jacksonville members incl. Wolfson Children's and Baptist Medical Centers (Exhibit A). Expiration not in text; filename indicates 6/10/2028 extended to 2030.</t>
  </si>
  <si>
    <t xml:space="preserve">Partners Coop - BTS</t>
  </si>
  <si>
    <t xml:space="preserve">PartnersAgreement_BTS_Rental Exp 6_10_2028_ext 2030.pdf</t>
  </si>
  <si>
    <t xml:space="preserve">Partners Cooperative (BTS product agreement)</t>
  </si>
  <si>
    <t xml:space="preserve">US Med-Equip</t>
  </si>
  <si>
    <t xml:space="preserve">2025-06-11 (date of last signature)</t>
  </si>
  <si>
    <t xml:space="preserve">2028-06-10 (initial); up to 2030-06-10 with two 1-yr renewals</t>
  </si>
  <si>
    <t xml:space="preserve">Either party without cause on 30 days written notice; member end-user agreements terminable by either side on 30 days; Partners may terminate immediately for recall/failure to supply</t>
  </si>
  <si>
    <t xml:space="preserve">Exhibit A daily rates: Partners Access vs 90% Partners Committed pricing (beds, surfaces, low-air-loss)</t>
  </si>
  <si>
    <t xml:space="preserve">Fixed for initial 36 months; thereafter USME may modify at most once annually with documentation via written amendment</t>
  </si>
  <si>
    <t xml:space="preserve">1% quarterly GPO fee to Partners on all member rentals; 1% annual rebate for 90% committed (LOC) members; 1% Family Rebate for members 90%+ on both MME and BTS; rebates void if DSO &gt;30 days, forfeited if &gt;90</t>
  </si>
  <si>
    <t xml:space="preserve">Committed tier requires 90% LOC; Partners is A-Tier GPO with most competitive pricing/terms (10-business-day price-compliance response)</t>
  </si>
  <si>
    <t xml:space="preserve">Net 35 to distribution centers; net 30 or member terms direct, prompt-pay discount within 10 days via ACH</t>
  </si>
  <si>
    <t xml:space="preserve">A-Tier GPO MFN; failure-to-supply cost coverage; USME bears return/replacement risk on defective products; mutual indemnity; GL $1M/$3M; no consequential damages; Georgia confidentiality</t>
  </si>
  <si>
    <t xml:space="preserve">Replaces prior Partners CE69 bed agreement; binding on members only via End-User Agreement/LOC, which cannot extend past the initial term except two 1-yr renewals. Filename 'ext 2030' reflects the renewal options.</t>
  </si>
  <si>
    <t xml:space="preserve">Partners Coop MME - CE72</t>
  </si>
  <si>
    <t xml:space="preserve">USME Partners Coop CE72 MME Exp 9_30_2028.pdf</t>
  </si>
  <si>
    <t xml:space="preserve">Partners Cooperative CE72</t>
  </si>
  <si>
    <t xml:space="preserve">2028-09-30</t>
  </si>
  <si>
    <t xml:space="preserve">Two 1-yr renewals unless 30 days notice of non-renewal</t>
  </si>
  <si>
    <t xml:space="preserve">Either party, 90 days written notice without cause</t>
  </si>
  <si>
    <t xml:space="preserve">Exhibit A fixed rental pricing; same pricing for all members and authorized distributors</t>
  </si>
  <si>
    <t xml:space="preserve">Fixed for initial term; then annually by CPI-U capped at 2%</t>
  </si>
  <si>
    <t xml:space="preserve">GPO fee 0.5% of total gross revenue (monthly); 1% rebate to Primary Provider (90% LOC) members; 1% bonus if aggregate &gt;$7M; DSO &lt;=30</t>
  </si>
  <si>
    <t xml:space="preserve">A-Tier GPO: must offer most competitive pricing (180 days notice to withdraw); 90% LOC for member rebate</t>
  </si>
  <si>
    <t xml:space="preserve">1% 10 days via ACH, Net 30</t>
  </si>
  <si>
    <t xml:space="preserve">MFN-type pricing compliance (unauthorized increase = material breach); 95% fill rate; delivery &lt;=10 days FOB destination; surcharges must be disclosed</t>
  </si>
  <si>
    <t xml:space="preserve">RFP-form agreement with Partners Cooperative. Initial 3-year term from 1/1/2025 would end 12/31/2027, but cover page states termination date 9/30/2028.</t>
  </si>
  <si>
    <t xml:space="preserve">Penn Medicine (UPHS)</t>
  </si>
  <si>
    <t xml:space="preserve">The Trustees of the University of Pennsylvania (University of Pennsylvania Health System)</t>
  </si>
  <si>
    <t xml:space="preserve">University of Pennsylvania Health System</t>
  </si>
  <si>
    <t xml:space="preserve">Penn_Health_Extension Amend_Exp_8_31_2029.pdf</t>
  </si>
  <si>
    <t xml:space="preserve">MME Rental, BTS Rental, Respiratory, Biomed/Repair Service</t>
  </si>
  <si>
    <t xml:space="preserve">2026-09-01</t>
  </si>
  <si>
    <t xml:space="preserve">2029-08-31</t>
  </si>
  <si>
    <t xml:space="preserve">3-year extension (T&amp;Cs effective 2018-05-01)</t>
  </si>
  <si>
    <t xml:space="preserve">Either party may cancel by written notice of intent (notice period not stated)</t>
  </si>
  <si>
    <t xml:space="preserve">Exhibit A: Solis VIP pump rental $154.85/month; PM on Penn Home Infusion-owned Solis VIP pumps $39/unit; MME and BTS daily rates</t>
  </si>
  <si>
    <t xml:space="preserve">Not stated (pricing effective 9/1/2026-8/31/2029)</t>
  </si>
  <si>
    <t xml:space="preserve">Minimum 500 Solis VIP units on rent for the term; units purchased to serve fleet above 750 carry 6-month minimum rental</t>
  </si>
  <si>
    <t xml:space="preserve">Amendment No. 3 extends UPHS MME rental T&amp;Cs (2018, amended 2022 and 2023) three years; anchored by a 500-unit minimum Solis VIP ambulatory pump rental for home infusion. Signed 8/19-8/20/2026 (James Duvall / Jeffrey Raup).</t>
  </si>
  <si>
    <t xml:space="preserve">Penn State Health</t>
  </si>
  <si>
    <t xml:space="preserve">Penn State</t>
  </si>
  <si>
    <t xml:space="preserve">Penn State_Omnibed_Amendement_exp 03.28.2027.pdf</t>
  </si>
  <si>
    <t xml:space="preserve">2026-09-29</t>
  </si>
  <si>
    <t xml:space="preserve">2027-03-28 (not to exceed 180 days)</t>
  </si>
  <si>
    <t xml:space="preserve">180 days max</t>
  </si>
  <si>
    <t xml:space="preserve">Extendable if mutually agreeable</t>
  </si>
  <si>
    <t xml:space="preserve">Per MSA</t>
  </si>
  <si>
    <t xml:space="preserve">Not stated; adds Pay Per Clean: Giraffe Warmers $40, Giraffe Omnibeds $55</t>
  </si>
  <si>
    <t xml:space="preserve">Amendment No. 1 to SOW 101424PSH under 2/24/2025 MSA; adds cleaning of Giraffe warmers/Omnibeds at Hampden Medical Center to on-site equipment services scope. Signature block garbled.</t>
  </si>
  <si>
    <t xml:space="preserve">Penn State Health Asset Management MSA_SOW_exp 10_27_2027_ext 2029.pdf</t>
  </si>
  <si>
    <t xml:space="preserve">2025-02-24 (MSA signed; SOW 101424PSH effective 60 days after execution)</t>
  </si>
  <si>
    <t xml:space="preserve">2027-10-27</t>
  </si>
  <si>
    <t xml:space="preserve">Through 2027-10-27 (~2.7 years)</t>
  </si>
  <si>
    <t xml:space="preserve">Up to two 1-yr renewals by mutual agreement within 90 days of expiry</t>
  </si>
  <si>
    <t xml:space="preserve">Either party with or without cause on 180 days notice; USME may terminate on customer change of control</t>
  </si>
  <si>
    <t xml:space="preserve">SOW 101424PSH: on-site equipment management fee $524,424/year ($43,702/month) at Holy Spirit, Hampden and other PSH hospitals</t>
  </si>
  <si>
    <t xml:space="preserve">Fixed first year; then lesser of 3% or Medical Care CPI annually; added labor to meet KPIs cannot be passed through</t>
  </si>
  <si>
    <t xml:space="preserve">Monthly invoices; net 45 via ACH for undisputed amounts; USME may suspend after 30 days notice of non-payment</t>
  </si>
  <si>
    <t xml:space="preserve">KPIs in SOW Annex 3; 2-hr + drive-time delivery; insurance CGL $1M/$3M/$10M and cyber $5M; mutual indemnity; 12-month non-solicit; replacement charge capped at USME acquisition cost</t>
  </si>
  <si>
    <t xml:space="preserve">On-site asset management program covering USME and customer-owned equipment (tracking, PAR, cleaning, delivery). Filename 'ext 2029' implies both renewal years; text only provides for mutual renewals.</t>
  </si>
  <si>
    <t xml:space="preserve">Premier</t>
  </si>
  <si>
    <t xml:space="preserve">Premier Healthcare Alliance, L.P.</t>
  </si>
  <si>
    <t xml:space="preserve">GPO/Premier/Premier Beds - PP-NS-1565</t>
  </si>
  <si>
    <t xml:space="preserve">Premier PP-NS-1565_BTS Rental_Amendment 4 - Extension Exp 2_29_28.pdf</t>
  </si>
  <si>
    <t xml:space="preserve">2025-03-01 (amendment; agreement effective 2022-03-01)</t>
  </si>
  <si>
    <t xml:space="preserve">72 months total (extended from 36)</t>
  </si>
  <si>
    <t xml:space="preserve">Premier only: 90 days written notice without cause; Premier may delete Services on 90 days notice</t>
  </si>
  <si>
    <t xml:space="preserve">Exhibit A-3 price list; Tiers 1-4 (T1 no commitment; T2 &gt;80% or $100K-$300K; T3 $300K-$1M or AHS; T4 &gt;$1M)</t>
  </si>
  <si>
    <t xml:space="preserve">Seller shall not increase prices in Exhibit A-3</t>
  </si>
  <si>
    <t xml:space="preserve">Premier admin fee reduced 5% to 3%, paid monthly; value adds/rebates per Exhibit I</t>
  </si>
  <si>
    <t xml:space="preserve">Tier-based; 60-day tier reduction notice process; failure to supply lets member buy elsewhere with credit to tier</t>
  </si>
  <si>
    <t xml:space="preserve">1% discount if paid within 10 days; net 30 (was 2%/30)</t>
  </si>
  <si>
    <t xml:space="preserve">Delivery guarantee 2 hrs + drive time; seller pays cost difference if failure to supply; must honor prior GPO pricing up to 180 days on conversion</t>
  </si>
  <si>
    <t xml:space="preserve">Amendment 4 extends Premier beds/surfaces contract to 2/29/2028 and cuts admin fee to 3%. Signature page typo references PP-NS-1563.</t>
  </si>
  <si>
    <t xml:space="preserve">Premier Healthcare Alliance, L.P. (KIINDO children's hospital program)</t>
  </si>
  <si>
    <t xml:space="preserve">GPO/Premier/Premier - Kindo (Children's Hospitals) - KI-NS-1565</t>
  </si>
  <si>
    <t xml:space="preserve">Premier KI-NS-1565_BTS Rental Exp 2_29_2028.pdf</t>
  </si>
  <si>
    <t xml:space="preserve">Premier KI-NS-1565</t>
  </si>
  <si>
    <t xml:space="preserve">2021-12-01 (cover sheet); Amendment 2 effective 2025-03-01</t>
  </si>
  <si>
    <t xml:space="preserve">75 months (extended from 39)</t>
  </si>
  <si>
    <t xml:space="preserve">None stated (extended by Amendment 2)</t>
  </si>
  <si>
    <t xml:space="preserve">Premier may terminate without cause on 90 days notice and delete services on 90 days notice; customer-side only</t>
  </si>
  <si>
    <t xml:space="preserve">Net prices per Exhibit A-3; Tier 1 Access (no requirement), Tier 2 KIINDO (80% participation)</t>
  </si>
  <si>
    <t xml:space="preserve">Price protection: no increases for the term; market checks may reduce prices</t>
  </si>
  <si>
    <t xml:space="preserve">Premier admin fee reduced from 5% to 3%, paid monthly; early payment discount changed to 1% if paid within 10 days</t>
  </si>
  <si>
    <t xml:space="preserve">Tier 2 requires 80% participation; no minimum orders; members may terminate existing contracts to join</t>
  </si>
  <si>
    <t xml:space="preserve">1%/10, net 30; EFT allowed at no extra cost</t>
  </si>
  <si>
    <t xml:space="preserve">MFN: pricing better than anywhere in market and 3% below best national tier, auto-match more favorable terms; failure-to-supply cost reimbursement; insurance $5M/$10M GL/products and $5M cyber, Premier additional insured</t>
  </si>
  <si>
    <t xml:space="preserve">Amendment 2 (signed 1/21/2025) assigns the Freedom Medical KIINDO beds/surfaces agreement to USME, extends to 2/29/2028, and cuts admin fee to 3%. Guaranteed delivery 2 hours plus drive time. Signature page references KI-NS-1563 (likely typo); base agreement date cited as 3/1/2022 vs cover sheet 12/1/2021.</t>
  </si>
  <si>
    <t xml:space="preserve">GPO/Premier/Premier Rental - PP-NS-2139</t>
  </si>
  <si>
    <t xml:space="preserve">PP-NS-2139_MME_Exp_11_30_28.pdf</t>
  </si>
  <si>
    <t xml:space="preserve">Premier PP-NS-2139</t>
  </si>
  <si>
    <t xml:space="preserve">2028-11-30</t>
  </si>
  <si>
    <t xml:space="preserve">Premier only, 90 days written notice without cause (may also delete services)</t>
  </si>
  <si>
    <t xml:space="preserve">Net prices per Exhibit A-3; Tier 1 (no commitment) to Tier 5 (&gt;=90%); Tiers 2/3/4 at &gt;=50%/&gt;=70% or AHS/&gt;=80%</t>
  </si>
  <si>
    <t xml:space="preserve">Price protection: no increases for term</t>
  </si>
  <si>
    <t xml:space="preserve">3% Premier admin fee monthly; 1% early-pay discount if paid in 10 days via ACH</t>
  </si>
  <si>
    <t xml:space="preserve">Tiered participation commitments via PMDF; single group affiliation; no minimum order</t>
  </si>
  <si>
    <t xml:space="preserve">Net 30; 1% discount within 10 days; 1.5%/month interest on late admin fees</t>
  </si>
  <si>
    <t xml:space="preserve">Guaranteed delivery 2 hrs + drive time; failure-to-supply: member may buy substitute (reimburse up to 10% over contract) or terminate; audit; 180-day honoring of better prior pricing</t>
  </si>
  <si>
    <t xml:space="preserve">Peak Use Rental Equipment national GPO agreement. Value adds: KPI reporting, 24-hr pickup, 100% high-risk PM compliance commitment.</t>
  </si>
  <si>
    <t xml:space="preserve">Premier Healthcare Alliance, L.P. (SURPASS program)</t>
  </si>
  <si>
    <t xml:space="preserve">GPO/Premier/Premier Surpass - SP-NS-2139</t>
  </si>
  <si>
    <t xml:space="preserve">Premier Surpass_SP-NS-2139_MME_Exp_11_30_2028.pdf</t>
  </si>
  <si>
    <t xml:space="preserve">Premier SURPASS SP-NS-2139</t>
  </si>
  <si>
    <t xml:space="preserve">Premier only, without cause, 90 days written notice (may also delete services); members may exit existing contracts without liability</t>
  </si>
  <si>
    <t xml:space="preserve">SURPASS tier net pricing (Exhibit A-3) for Peak Use Rental Equipment: Daily and Monthly tiers at 90% participation; match lower national reseller price</t>
  </si>
  <si>
    <t xml:space="preserve">Price protection: no increases during term</t>
  </si>
  <si>
    <t xml:space="preserve">Premier admin fee 4% paid monthly; 1% growth rebate on incremental purchases over prior-12-month baseline; 1% early-pay discount if paid within 10 days via ACH</t>
  </si>
  <si>
    <t xml:space="preserve">SURPASS tiers require 90% participation; 90-day cure before tier reduction to National PP-NS-2139 tier</t>
  </si>
  <si>
    <t xml:space="preserve">Net 30 from later of delivery or invoice; 1% discount within 10 days; 1.5%/month interest on late admin fees</t>
  </si>
  <si>
    <t xml:space="preserve">Guaranteed delivery 2 hrs + drive time; failure to supply lets member buy elsewhere with USME covering price difference up to 10%; audit penalty if admin fee underreported &gt; lesser of $25K or 5%; cybersecurity exhibit</t>
  </si>
  <si>
    <t xml:space="preserve">Premier SURPASS committed-member MME (peak use) agreement, companion to national PP-NS-2139. Includes value adds (25% rental equity credit). Strict roster/dual-membership reporting obligations.</t>
  </si>
  <si>
    <t xml:space="preserve">GPO/Premier/Premier ASCENDrive AD-NS-2139</t>
  </si>
  <si>
    <t xml:space="preserve">Premier MME AD-NS-2139_Exp 11.30.2028.pdf</t>
  </si>
  <si>
    <t xml:space="preserve">Premier AD-NS-2139 (AscenDrive; national PP-NS-2139)</t>
  </si>
  <si>
    <t xml:space="preserve">Premier may terminate without cause on 90 days notice (Premier-only); Premier may delete services on 90 days notice</t>
  </si>
  <si>
    <t xml:space="preserve">Peak Use Rental Equipment; AscenDrive daily/monthly tiers at 80% and 90% participation in annual dollars per Exhibit A-3</t>
  </si>
  <si>
    <t xml:space="preserve">No price increases for term (price protection); market checks may reduce prices</t>
  </si>
  <si>
    <t xml:space="preserve">Premier admin fee 4% paid monthly; Growth rebate 2% of incremental purchases over baseline per 12-mo measurement period; 1% early-pay discount (10 days, ACH)</t>
  </si>
  <si>
    <t xml:space="preserve">Member tier requires 80%/90% participation; 60-day notice/cure before demoting to national PP-NS-2139 tier; no minimum order</t>
  </si>
  <si>
    <t xml:space="preserve">Net 30; 1%/10 days early pay discount via ACH</t>
  </si>
  <si>
    <t xml:space="preserve">MFN: prices and terms at least as good as anywhere in market; delivery guarantee 2 hrs + drive time with alternate-source reimbursement (cap 10% over contract price); CGL $5M/$10M; seller liability limits overridden</t>
  </si>
  <si>
    <t xml:space="preserve">Premier AscenDrive committed-tier MME/peak-use rental contract; seller must cross-reference roster monthly and pay admin fees on all member purchases. Audit penalty if fee underreporting exceeds lesser of $25K/5%.</t>
  </si>
  <si>
    <t xml:space="preserve">Premier (Capstone Health Alliance)</t>
  </si>
  <si>
    <t xml:space="preserve">Capstone Health Alliance, Inc.</t>
  </si>
  <si>
    <t xml:space="preserve">GPO/Premier/Premier - Capstone - PP-NS-2139</t>
  </si>
  <si>
    <t xml:space="preserve">Capstone PP-NS-2139 MME Exp 11.30.28.pdf</t>
  </si>
  <si>
    <t xml:space="preserve">2026-02-01</t>
  </si>
  <si>
    <t xml:space="preserve">2028-11-30 (or earlier end of PP-NS-2139)</t>
  </si>
  <si>
    <t xml:space="preserve">Through 2028-11-30</t>
  </si>
  <si>
    <t xml:space="preserve">None (coterminous with Premier PP-NS-2139)</t>
  </si>
  <si>
    <t xml:space="preserve">Either party, 60 days written notice, with or without cause</t>
  </si>
  <si>
    <t xml:space="preserve">Premier PP-NS-2139 tiers: Capstone Tier 2 (Access, no commitment) and Tier 3 (&gt;=50% of annual spend, signed PMDF)</t>
  </si>
  <si>
    <t xml:space="preserve">Locally negotiated pricing held firm for term of Premier agreement unless Capstone approves</t>
  </si>
  <si>
    <t xml:space="preserve">3% quarterly Conversion Rebate for first 12 months for new members committing &gt;=80%; not paid if DSO &gt;30; non-stackable</t>
  </si>
  <si>
    <t xml:space="preserve">Tier 3 requires &gt;=50% annual spend; semi-annual review, 30-day cure before tier adjustment</t>
  </si>
  <si>
    <t xml:space="preserve">Not stated (per Premier agreement); DSO &gt;30 voids rebate</t>
  </si>
  <si>
    <t xml:space="preserve">Must use member-requested freight company; assignment requires consent except M&amp;A; Capstone not liable for member sales</t>
  </si>
  <si>
    <t xml:space="preserve">Regional Premier enhancement for Capstone members. Conversion rebate excludes members already renting from USME.</t>
  </si>
  <si>
    <t xml:space="preserve">Profound Hospice Care</t>
  </si>
  <si>
    <t xml:space="preserve">Profound Hospice Care, LLC</t>
  </si>
  <si>
    <t xml:space="preserve">Profound Hospice Care_MME_Exp9_15_27_auto renew.pdf</t>
  </si>
  <si>
    <t xml:space="preserve">2024-09-19</t>
  </si>
  <si>
    <t xml:space="preserve">2027-09-18</t>
  </si>
  <si>
    <t xml:space="preserve">Auto-renews 1-yr terms</t>
  </si>
  <si>
    <t xml:space="preserve">After initial term either party 30 days without cause; 60-day breach cure</t>
  </si>
  <si>
    <t xml:space="preserve">Primary Vendor pricing per Attachment A daily/monthly; list pricing if commitment breached</t>
  </si>
  <si>
    <t xml:space="preserve">Rebate 2%/4%/6% for primary supplier in 1/2/3 verticals (MME, BTS, ASAP); requires 90% MME/BTS, 100% ASAP, DSO &lt;=30, ACH</t>
  </si>
  <si>
    <t xml:space="preserve">Primary vendor: &gt;=80% of annual rental spend for Attachment B facilities; 60-day cure then list pricing</t>
  </si>
  <si>
    <t xml:space="preserve">Net 30; 1.5%/month late interest; credit hold, list pricing, repossession</t>
  </si>
  <si>
    <t xml:space="preserve">Customer liable for loss/damage repair or replacement; customer insures equipment; full new-unit cost if not surrendered; mutual indemnity; no consequential damages; CGL $1M/$3M</t>
  </si>
  <si>
    <t xml:space="preserve">Contract 09192024JD with a Texas hospice/DME. Filename says Exp 9/15/27; text term runs 3 years from 9/19/2024.</t>
  </si>
  <si>
    <t xml:space="preserve">Remi Holdings</t>
  </si>
  <si>
    <t xml:space="preserve">Remi Holdings, LLC (services at State of CA DSH Metropolitan State Hospital)</t>
  </si>
  <si>
    <t xml:space="preserve">Remi Holding - DHS Metropolitan Hospital</t>
  </si>
  <si>
    <t xml:space="preserve">Remi Holding_State_of_CA-DSH-Metropolitan_St_Hospital_Posey_Exp.6_30_26.pdf</t>
  </si>
  <si>
    <t xml:space="preserve">Restraints/Posey, Other</t>
  </si>
  <si>
    <t xml:space="preserve">2026-06-30 initial; continues while any SOW in effect (SOW #1 open-ended)</t>
  </si>
  <si>
    <t xml:space="preserve">1 year or until all SOWs end</t>
  </si>
  <si>
    <t xml:space="preserve">Continues until later termination/expiration of all SOWs</t>
  </si>
  <si>
    <t xml:space="preserve">No convenience termination; breach (cure period), insolvency, Remi change of control (USME option), force majeure &gt;30 days, or mutual agreement</t>
  </si>
  <si>
    <t xml:space="preserve">SOW #1: Posey bed canopy cleaning $225 each, 25 units monthly; labor and travel included</t>
  </si>
  <si>
    <t xml:space="preserve">Net 30 from receipt; late interest lesser of 1.5%/month or Texas max, plus collection costs</t>
  </si>
  <si>
    <t xml:space="preserve">USME liability capped at 12 months of SOW fees; no consequential damages; USME not responsible for canopy damage; CGL $1M/$3M; 12-month mutual non-solicit</t>
  </si>
  <si>
    <t xml:space="preserve">MSA plus SOW #1 for monthly on-site Posey bed canopy exchange (25 beds) at Metropolitan State Hospital. SOW cites MSA date 7/1/2024 vs MSA 7/1/2025; filename exp 6/30/26 matches MSA initial year only.</t>
  </si>
  <si>
    <t xml:space="preserve">ScionHealth (Kindred)</t>
  </si>
  <si>
    <t xml:space="preserve">Kindred Healthcare Operating, LLC (ScionHealth), with HealthTrust Purchasing Group, L.P.</t>
  </si>
  <si>
    <t xml:space="preserve">Kindred Healthcare - ScionHealth</t>
  </si>
  <si>
    <t xml:space="preserve">ScionHealth_Kindred HealthcareExp_8_31_2027_auto renew.pdf</t>
  </si>
  <si>
    <t xml:space="preserve">HealthTrust HPG-7093</t>
  </si>
  <si>
    <t xml:space="preserve">2027-08-31</t>
  </si>
  <si>
    <t xml:space="preserve">After initial term either party 30 days without cause; customer 60 days if USME ceases to be GPO-contracted supplier; 60-day breach cure</t>
  </si>
  <si>
    <t xml:space="preserve">Primary Vendor pricing per Attachment A; reverts to HealthTrust pricing if commitment missed or late payment uncured</t>
  </si>
  <si>
    <t xml:space="preserve">Fixed until 3rd anniversary; then once per year up to greater of 5% or Medical Care CPI-U with 30 days notice</t>
  </si>
  <si>
    <t xml:space="preserve">Rebate 2%/4%/6% for primary supplier in 1/2/3 verticals (MME, BTS, ASAP); DSO &lt;=45, ACH, EMR integration, business reviews</t>
  </si>
  <si>
    <t xml:space="preserve">Primary vendor: &gt;=90% of annual rental spend for Attachment B facilities; 60-day assurance period; not a breach</t>
  </si>
  <si>
    <t xml:space="preserve">Net 30 from receipt of invoice; 60-day cure for late payment before repossession/credit hold</t>
  </si>
  <si>
    <t xml:space="preserve">Customer pays repair or replacement cost less 50% of rents paid; customer insures equipment at replacement cost; mutual indemnity; no consequential damages; assignment needs mutual consent; CGL $1M/$3M</t>
  </si>
  <si>
    <t xml:space="preserve">Tri-party agreement structured as amendment to HPG-7093 covering ScionHealth/Kindred facilities. Filename indicates auto-renew after 8/31/2027.</t>
  </si>
  <si>
    <t xml:space="preserve">Select Medical</t>
  </si>
  <si>
    <t xml:space="preserve">Select Medical Corporation</t>
  </si>
  <si>
    <t xml:space="preserve">SELECT Amendment_Advance Wave_Exp_9_30_2023_Auto Renew.PDF</t>
  </si>
  <si>
    <t xml:space="preserve">2022-01-01</t>
  </si>
  <si>
    <t xml:space="preserve">2023-09-30 initial; auto-renewing 1-yr terms (current term to 2027-09-30)</t>
  </si>
  <si>
    <t xml:space="preserve">Base agreement 2019-10-01; initial term extended to 2023-09-30</t>
  </si>
  <si>
    <t xml:space="preserve">Auto-renews 1-yr terms unless 90 days written non-renewal notice</t>
  </si>
  <si>
    <t xml:space="preserve">Hospital may terminate without liability for pervasive non-delivery of standard products (Sec 3(c)); otherwise non-renewal on 90 days notice</t>
  </si>
  <si>
    <t xml:space="preserve">Not stated (base Therapy Support Service Rental Agreement Exhibit A)</t>
  </si>
  <si>
    <t xml:space="preserve">4% annual rebate on rental revenue for Exhibit A products, paid by check within 30 days after each calendar-year rebate period</t>
  </si>
  <si>
    <t xml:space="preserve">First amendment to Freedom Medical support surface national rental agreement (Advanced Wave) with Select Medical. No assignment to USME in this document - confirm assignment.</t>
  </si>
  <si>
    <t xml:space="preserve">Smith &amp; Nephew</t>
  </si>
  <si>
    <t xml:space="preserve">Smith &amp; Nephew, Inc.</t>
  </si>
  <si>
    <t xml:space="preserve">Smith + Nephew</t>
  </si>
  <si>
    <t xml:space="preserve">SN Amendment to Master Service Agrmt_2022_exp_6_1_2027.pdf</t>
  </si>
  <si>
    <t xml:space="preserve">MME Rental, Other</t>
  </si>
  <si>
    <t xml:space="preserve">US Med-Equip, LLC (assignee of US Med-Equip, Inc.)</t>
  </si>
  <si>
    <t xml:space="preserve">2022-06-01 (amends MSA and SOW No. 1 effective 2019-03-04)</t>
  </si>
  <si>
    <t xml:space="preserve">2027-06-01</t>
  </si>
  <si>
    <t xml:space="preserve">Amendment term 2022-06-01 to 2027-06-01; MSA continues while any SOW in effect</t>
  </si>
  <si>
    <t xml:space="preserve">Either party, with or without cause, 120 days written notice (MSA or any SOW); for uncured breach (30 days) or insolvency</t>
  </si>
  <si>
    <t xml:space="preserve">Not stated in amendment (per underlying MSA/SOW No. 1)</t>
  </si>
  <si>
    <t xml:space="preserve">USME must rent exclusively S&amp;N RENASYS NPWT pumps to S&amp;N customers and to its other NPWT customers (with exceptions); S&amp;N uses USME as exclusive peak rental provider where not constrained/out of coverage</t>
  </si>
  <si>
    <t xml:space="preserve">Mutual exclusivity obligations; underlying MSA terms govern other risk items</t>
  </si>
  <si>
    <t xml:space="preserve">Vendor partnership: USME provides peak and daily rental of Smith &amp; Nephew NPWT (RENASYS) pumps to S&amp;N customers. Amendment signed 6/1/2022 (DocuSign 9/19/2022); USME exclusivity restricts offering competing NPWT pumps.</t>
  </si>
  <si>
    <t xml:space="preserve">St. Elizabeth Healthcare</t>
  </si>
  <si>
    <t xml:space="preserve">St. Elizabeth Health</t>
  </si>
  <si>
    <t xml:space="preserve">St Elizabeth Health ASAP Exp 11_17_2029_ext 2031.pdf</t>
  </si>
  <si>
    <t xml:space="preserve">Partners Cooperative MSA (9/1/2024)</t>
  </si>
  <si>
    <t xml:space="preserve">2024-11-18</t>
  </si>
  <si>
    <t xml:space="preserve">2029-11-17 (two 1-yr auto-renewals to 2031)</t>
  </si>
  <si>
    <t xml:space="preserve">Auto-renews two 1-yr terms unless St. Elizabeth gives 60 days notice</t>
  </si>
  <si>
    <t xml:space="preserve">Per MSA Article 7: 90 days written notice (per SEH cover sheet)</t>
  </si>
  <si>
    <t xml:space="preserve">Fixed $934,812/yr, paid $77,901/month; allocated across 6 sites</t>
  </si>
  <si>
    <t xml:space="preserve">Per MSA Section 3.3</t>
  </si>
  <si>
    <t xml:space="preserve">15-min delivery for on-site rush orders, 2-hr + drive time off-site; PAR checks; QBRs; staff competency docs; no explicit penalties</t>
  </si>
  <si>
    <t xml:space="preserve">On-site equipment management (ASAP) at Edgewood, Florence, Ft Thomas, Dearborn, Grant, Covington covering USME and customer-owned equipment.</t>
  </si>
  <si>
    <t xml:space="preserve">St. Jude</t>
  </si>
  <si>
    <t xml:space="preserve">St. Jude Children's Research Hospital</t>
  </si>
  <si>
    <t xml:space="preserve">St Jude Childrens_Exp_10_31_2022_Auto Renew.pdf</t>
  </si>
  <si>
    <t xml:space="preserve">2019-11-01</t>
  </si>
  <si>
    <t xml:space="preserve">2026-10-31 (current auto-renewal term)</t>
  </si>
  <si>
    <t xml:space="preserve">Either party, 30 days written notice</t>
  </si>
  <si>
    <t xml:space="preserve">Monthly/daily rates per Vizient CE7073 Exhibit A; 25% equity discount toward buyout up to 12 months</t>
  </si>
  <si>
    <t xml:space="preserve">Not stated (per Vizient CE7073)</t>
  </si>
  <si>
    <t xml:space="preserve">Not stated (per Vizient)</t>
  </si>
  <si>
    <t xml:space="preserve">Due on 1st day of each month</t>
  </si>
  <si>
    <t xml:space="preserve">Customer liable for loss/damage and abuse plus enforcement costs; full new-unit cost if not surrendered; USME CGL $1M/$3M; 30-day cure</t>
  </si>
  <si>
    <t xml:space="preserve">Contract 093019STJ_MS. Current renewal term ends 10/31/2026; non-renewal notice deadline about 10/1/2026 has passed, so it will likely roll to 10/31/2027.</t>
  </si>
  <si>
    <t xml:space="preserve">Stanford Health Care</t>
  </si>
  <si>
    <t xml:space="preserve">Stanford Health Care Tri-Valley</t>
  </si>
  <si>
    <t xml:space="preserve">Stanford Health Care - Tri-Valley</t>
  </si>
  <si>
    <t xml:space="preserve">Stanford Health Care Tri Valley_Exp_07_31_2027.Pdf</t>
  </si>
  <si>
    <t xml:space="preserve">2024-08-01</t>
  </si>
  <si>
    <t xml:space="preserve">2027-07-31</t>
  </si>
  <si>
    <t xml:space="preserve">Either party may terminate without cause (notice period illegible in text)</t>
  </si>
  <si>
    <t xml:space="preserve">Daily/monthly rental rates per Attachment A (model-level list)</t>
  </si>
  <si>
    <t xml:space="preserve">Firm 2 years; thereafter max once per contract year tied to Medical Care CPI-U (text partially garbled)</t>
  </si>
  <si>
    <t xml:space="preserve">Net 30 from invoice; late interest lesser of 1%/month or legal max; credit hold after 30-day default notice</t>
  </si>
  <si>
    <t xml:space="preserve">Customer liable for loss/damage (depreciated value for lost/stolen units); no consequential damages; CGL $1M/$3M with 2-yr tail; 4-hr delivery 24/7; California law</t>
  </si>
  <si>
    <t xml:space="preserve">MME peak rental agreement (Contract #SHTV082124KS) for Stanford Tri-Valley with strict invoicing standards (PO per invoice). Some clauses garbled in source text.</t>
  </si>
  <si>
    <t xml:space="preserve">State of California - CDCR</t>
  </si>
  <si>
    <t xml:space="preserve">California Department of Corrections and Rehabilitation / California Correctional Health Care Services (CDCR/CCHCS)</t>
  </si>
  <si>
    <t xml:space="preserve">California Dept. of Corrections</t>
  </si>
  <si>
    <t xml:space="preserve">CDCR_MME_BTS_Exp_6_30_2029.pdf</t>
  </si>
  <si>
    <t xml:space="preserve">BTS Rental, MME Rental, Biomed/Repair Service</t>
  </si>
  <si>
    <t xml:space="preserve">Direct (State Agreement 25-00237; Solicitation SD25-00047)</t>
  </si>
  <si>
    <t xml:space="preserve">2026-07-01 (or upon approval; DGS approved 2026-06-24)</t>
  </si>
  <si>
    <t xml:space="preserve">None stated; amendments require mutual consent and DGS approval</t>
  </si>
  <si>
    <t xml:space="preserve">State may terminate with 30 days written notice; contractor may request only if State substantially fails to perform; State may cancel if funding reduced</t>
  </si>
  <si>
    <t xml:space="preserve">Daily rental rates per Exhibit B-1 Rate Sheet; max contract amount $5,072,709.90; equivalent substitutes at same daily rate</t>
  </si>
  <si>
    <t xml:space="preserve">Not stated (rates fixed per Rate Sheet; amendment only for CalHR benefit rate changes)</t>
  </si>
  <si>
    <t xml:space="preserve">As-needed basis; no volume guarantee; DVBE subcontractor participation commitment</t>
  </si>
  <si>
    <t xml:space="preserve">Monthly in arrears on approved invoices with service reports; CA Prompt Payment Act (Gov. Code 927)</t>
  </si>
  <si>
    <t xml:space="preserve">State not liable for loss/damage to rental equipment except its negligence; 24-hr delivery response, 24/7 service; 50% of rent paid credited to buyout; contractor repairs State property damage; GC 19134 benefits</t>
  </si>
  <si>
    <t xml:space="preserve">Statewide therapeutic patient care equipment rental for CDCR institutions (Exhibit A-2), with portal ordering (2 logins per institution) and repair services. Signed by Clay Rose 6/16/2026; rate sheet OCR garbled.</t>
  </si>
  <si>
    <t xml:space="preserve">State of Louisiana</t>
  </si>
  <si>
    <t xml:space="preserve">State of Louisiana (Office of State Procurement)</t>
  </si>
  <si>
    <t xml:space="preserve">4400029974 - Emergency Rental of Hospital Beds - SW.pdf</t>
  </si>
  <si>
    <t xml:space="preserve">Direct (LA contract 4400029974)</t>
  </si>
  <si>
    <t xml:space="preserve">US Med-Equip Inc</t>
  </si>
  <si>
    <t xml:space="preserve">2024-06-28 (current renewal 2026-05-01)</t>
  </si>
  <si>
    <t xml:space="preserve">2027-04-30</t>
  </si>
  <si>
    <t xml:space="preserve">12 months per renewal; total max 36 months</t>
  </si>
  <si>
    <t xml:space="preserve">Annual renewals; total term not to exceed 36 months</t>
  </si>
  <si>
    <t xml:space="preserve">State: for convenience on 30 days written notice; for cause on 30 days; non-appropriation</t>
  </si>
  <si>
    <t xml:space="preserve">$33.99/day per hospital bed (Paramount A6), per Attachment B</t>
  </si>
  <si>
    <t xml:space="preserve">Not stated (fixed unit price)</t>
  </si>
  <si>
    <t xml:space="preserve">Non-exclusive; no guaranteed quantities; USME committed 50+ beds within 12-24 hrs, 24+ per day</t>
  </si>
  <si>
    <t xml:space="preserve">Not stated (unit price basis; invoices to using agency)</t>
  </si>
  <si>
    <t xml:space="preserve">Broad indemnity of State; CGL $1M/$2M, auto $1M, WC/EL $1M, State as additional insured; detainment/reroute charges $125</t>
  </si>
  <si>
    <t xml:space="preserve">Statewide emergency contingency contract to rent hospital beds during Governor-declared emergencies; 24/7 availability, delivery 8-24 hrs, inside delivery at no charge.</t>
  </si>
  <si>
    <t xml:space="preserve">State of Louisiana, Office of State Procurement</t>
  </si>
  <si>
    <t xml:space="preserve">Renewal Notification 4400029974.pdf</t>
  </si>
  <si>
    <t xml:space="preserve">Direct (State Contract 4400029974, T-Number 92821)</t>
  </si>
  <si>
    <t xml:space="preserve">US Med-Equip, Inc. (as written)</t>
  </si>
  <si>
    <t xml:space="preserve">2026-05-01</t>
  </si>
  <si>
    <t xml:space="preserve">Not stated (renewal of 12 months)</t>
  </si>
  <si>
    <t xml:space="preserve">State exercised renewal option for 12 months at original terms</t>
  </si>
  <si>
    <t xml:space="preserve">Per original contract termination provisions (not stated here)</t>
  </si>
  <si>
    <t xml:space="preserve">Original terms, conditions and prices/discounts</t>
  </si>
  <si>
    <t xml:space="preserve">None (renewed at original prices)</t>
  </si>
  <si>
    <t xml:space="preserve">State renewal notice for emergency hospital bed rental contract (Southwest region). USME must submit a contract usage report about 4 months before 4/30/2027 (around Jan 2027). Entity named 'US Med-Equip, Inc.'</t>
  </si>
  <si>
    <t xml:space="preserve">STERILECO / VA North Texas Health Care System</t>
  </si>
  <si>
    <t xml:space="preserve">STERILECO LLC (prime contractor)</t>
  </si>
  <si>
    <t xml:space="preserve">Serileco LLC</t>
  </si>
  <si>
    <t xml:space="preserve">STERILECO_MME_Exp 06_07_2028.pdf</t>
  </si>
  <si>
    <t xml:space="preserve">Direct (Subcontract STERILECO-SUB-26-0077 under federal prime contract)</t>
  </si>
  <si>
    <t xml:space="preserve">2026-05-07 (signature); base period starts 2026-06-06</t>
  </si>
  <si>
    <t xml:space="preserve">2027-06-05 base; 2028-06-07 if option year exercised</t>
  </si>
  <si>
    <t xml:space="preserve">1 base year + 1 option year</t>
  </si>
  <si>
    <t xml:space="preserve">One option year at STERILECO's unilateral election; STERILECO may require extension at same rates</t>
  </si>
  <si>
    <t xml:space="preserve">STERILECO for convenience only if government terminates its prime contract; USME may terminate for convenience on 30 days written notice (performance continues during notice); default with 10-day cure</t>
  </si>
  <si>
    <t xml:space="preserve">Firm fixed unit price per CLIN: Hamilton MR-1 and G5 ventilator annual service contracts; total ~$95,430</t>
  </si>
  <si>
    <t xml:space="preserve">No price increase on option exercise; rate changes only for wage law mandates via good-faith negotiation</t>
  </si>
  <si>
    <t xml:space="preserve">Non-exclusive; work only on funded Orders; funding may be incremental</t>
  </si>
  <si>
    <t xml:space="preserve">Net 30 from receipt of correct invoice; ACH; payments withheld without valid COI</t>
  </si>
  <si>
    <t xml:space="preserve">USME indemnifies STERILECO; FAR government property liability; no direct contact with end customer; minimum insurance GL $500K, employer liability $100K; NCR quality process</t>
  </si>
  <si>
    <t xml:space="preserve">Subcontract for OEM-spec service of Hamilton G5/MR-1 ventilators at VA Medical Center Dallas (VANTHCS); signed by Clay Rose as CEO. Filename labels it MME but scope is biomed service.</t>
  </si>
  <si>
    <t xml:space="preserve">Tampa General Hospital</t>
  </si>
  <si>
    <t xml:space="preserve">Tampa General</t>
  </si>
  <si>
    <t xml:space="preserve">Tampa General_Exp_10_28_2022_Auto_Renew.pdf</t>
  </si>
  <si>
    <t xml:space="preserve">MME Rental, Asset Mgmt/On-site</t>
  </si>
  <si>
    <t xml:space="preserve">Vizient (Tier 3 pricing referenced)</t>
  </si>
  <si>
    <t xml:space="preserve">2019-10-29 (per filename; day/month illegible in text)</t>
  </si>
  <si>
    <t xml:space="preserve">2022-10-28 initial; auto-renewing</t>
  </si>
  <si>
    <t xml:space="preserve">Non-renewal by either party with 30 days notice; termination for breach (60-day cure)</t>
  </si>
  <si>
    <t xml:space="preserve">Vizient Tier 3 rates (90% LOC) per Attachment A; other Vizient price-file items at Tier 3; 25% equity discount up to 12 months</t>
  </si>
  <si>
    <t xml:space="preserve">Tier 3 pricing tied to 90% level of commitment</t>
  </si>
  <si>
    <t xml:space="preserve">Customer responsible for loss/damage; 50% of rent paid applied to lost-equipment buyout with quarterly RFID scans; full new-unit cost if not returned; CGL $1M/$3M; Texas law, Harris County</t>
  </si>
  <si>
    <t xml:space="preserve">Contract #109414. Includes mySmarts portal, RFID tracking and PM notification value-adds. Auto-renews annually, so likely still in effect.</t>
  </si>
  <si>
    <t xml:space="preserve">Tenet Healthcare</t>
  </si>
  <si>
    <t xml:space="preserve">Tenet Business Services Corporation (on behalf of Tenet affiliates/facilities)</t>
  </si>
  <si>
    <t xml:space="preserve">Tenet MME Rental Exp 2_15_26_ext 2028.pdf</t>
  </si>
  <si>
    <t xml:space="preserve">2025-06-01 (or later execution)</t>
  </si>
  <si>
    <t xml:space="preserve">2029-05-31</t>
  </si>
  <si>
    <t xml:space="preserve">4 years</t>
  </si>
  <si>
    <t xml:space="preserve">One 1-yr extension by mutual written agreement before expiry</t>
  </si>
  <si>
    <t xml:space="preserve">Either party, without cause, 90 days written notice</t>
  </si>
  <si>
    <t xml:space="preserve">Primary Vendor daily/monthly rates per Exhibit C (e.g., PB 840 $24.16/day)</t>
  </si>
  <si>
    <t xml:space="preserve">3% quarterly rebate on all spend, paid 45 days after quarter; 25% equity credit; 50% lost-equipment credit after 3 RFID scans</t>
  </si>
  <si>
    <t xml:space="preserve">Primary vendor: 80% of annual MME rental spend (Tenet and USPI facilities on HealthTrust roster); 90-day cure then market rates; carve-outs for clinical incompatibility</t>
  </si>
  <si>
    <t xml:space="preserve">Net 45 from invoice via ACH; 45-day DSO per facility for rebate</t>
  </si>
  <si>
    <t xml:space="preserve">Mutual indemnity; CGL with $3M products aggregate, Tenet additional insured; USME cannot assign without consent (Tenet can); arbitration; quarterly business reviews; RFID audits</t>
  </si>
  <si>
    <t xml:space="preserve">Tenet/USPI MME services agreement under HPG-7093 with initial RFID audit in 8 weeks and biannual scans. Filename 'Exp 2_15_26 ext 2028' conflicts with text (4-yr term from 6/1/2025, to 5/31/2029).</t>
  </si>
  <si>
    <t xml:space="preserve">Texas Purchasing Coalition (TPC)</t>
  </si>
  <si>
    <t xml:space="preserve">TTPC, LLC (Texas Purchasing Coalition)</t>
  </si>
  <si>
    <t xml:space="preserve">TPC Rental</t>
  </si>
  <si>
    <t xml:space="preserve">TPC_Rental_Exp_08_31_2017_auto renew.pdf</t>
  </si>
  <si>
    <t xml:space="preserve">TPC Standard Purchased Services Agreement (Direct GPO)</t>
  </si>
  <si>
    <t xml:space="preserve">2014-09-01</t>
  </si>
  <si>
    <t xml:space="preserve">2017-08-31 initial; auto-renewing 1-yr terms (current term through 2027-08-31 if not terminated)</t>
  </si>
  <si>
    <t xml:space="preserve">Either party 90 days before renewal term; TPC may terminate anytime on 30 days notice; fees continue on Separate Agreements post-termination</t>
  </si>
  <si>
    <t xml:space="preserve">Exhibit D item pricing (daily/monthly per model)</t>
  </si>
  <si>
    <t xml:space="preserve">Fixed for term; Supplier may only decrease</t>
  </si>
  <si>
    <t xml:space="preserve">1% TPC admin fee on Participant gross revenue (Exhibit B says paid monthly; Sec 3 says quarterly within 30 days) plus 3% to TPC's GPO; 1%/mo late fee; participant rebates paid directly</t>
  </si>
  <si>
    <t xml:space="preserve">Participants commit 95% of medical equipment rental spend to USME; 2-wk minimum on 3100A/B oscillators; 1-month minimum for suction cleanout</t>
  </si>
  <si>
    <t xml:space="preserve">2% 15, Net 45 (participants)</t>
  </si>
  <si>
    <t xml:space="preserve">Supplier indemnifies TPC/Participants; TPC liability capped at 3 months of fees; change of control = assignment requiring consent; TPC/Participants as additional insureds</t>
  </si>
  <si>
    <t xml:space="preserve">Coalition GPO agreement for Texas members; members sign Separate Agreements. Auto-renewal keeps it alive unless terminated; confirm whether still in use.</t>
  </si>
  <si>
    <t xml:space="preserve">TPC</t>
  </si>
  <si>
    <t xml:space="preserve">TTPC, LLC (TPC)</t>
  </si>
  <si>
    <t xml:space="preserve">TPC_2nd_Amendment-_Product_Add.pdf</t>
  </si>
  <si>
    <t xml:space="preserve">US Med Equip, Inc.</t>
  </si>
  <si>
    <t xml:space="preserve">2025-03-15</t>
  </si>
  <si>
    <t xml:space="preserve">Not stated (per base Services Agreement dated 2014-09-01)</t>
  </si>
  <si>
    <t xml:space="preserve">Adds Exhibit D BTS products: Tier 1/Access vs Tier 2/80% Committed daily pricing (beds, LAL mattresses, bariatric chairs/wheelchairs, Posey items)</t>
  </si>
  <si>
    <t xml:space="preserve">Tier 2 pricing requires 80% commitment</t>
  </si>
  <si>
    <t xml:space="preserve">Second amendment to TPC Standard Purchased Services Agreement (2014) adding BTS products and pricing; signed 3/28/2025 by Mark Phalen (TPC CFO) and Tim Heck. Base term not in this document; confirm underlying agreement is still in force.</t>
  </si>
  <si>
    <t xml:space="preserve">TPC (Texas Purchasing Coalition)</t>
  </si>
  <si>
    <t xml:space="preserve">TPC Refurbished</t>
  </si>
  <si>
    <t xml:space="preserve">TPC_Refurbish Equipment_Exp_08_14_2019_auto renew.pdf</t>
  </si>
  <si>
    <t xml:space="preserve">TPC Standard Agreement</t>
  </si>
  <si>
    <t xml:space="preserve">2016-08-15</t>
  </si>
  <si>
    <t xml:space="preserve">2019-08-14 initial; auto-renewed, current term through 2027-08-14</t>
  </si>
  <si>
    <t xml:space="preserve">Auto-renews successive 1-yr terms; 90 days notice before renewal to non-renew</t>
  </si>
  <si>
    <t xml:space="preserve">Either party: 90 days notice before a renewal term; TPC anytime with or without cause on 30 days notice</t>
  </si>
  <si>
    <t xml:space="preserve">Quote-based refurbished equipment pricing (typically 20-50% below new); quarterly group-buy discounts</t>
  </si>
  <si>
    <t xml:space="preserve">TPC admin fee 3% of gross revenue from Participants, paid quarterly within 30 days; growth bonus admin fee 1-3% by annual spend tiers (2016-2018); 1%/month late fee</t>
  </si>
  <si>
    <t xml:space="preserve">No member purchase obligation</t>
  </si>
  <si>
    <t xml:space="preserve">Members: 2% 15, Net 45</t>
  </si>
  <si>
    <t xml:space="preserve">Change of control of voting equity counts as assignment requiring consent; fees continue on Separate Agreements post-termination; supplier indemnifies TPC/Participants; TPC liability capped at 3 months' fees</t>
  </si>
  <si>
    <t xml:space="preserve">Refurbished capital equipment (pumps, monitors) GPO agreement. Change-of-control clause relevant to PE ownership; fee tail survives on member Separate Agreements.</t>
  </si>
  <si>
    <t xml:space="preserve">UCHealth</t>
  </si>
  <si>
    <t xml:space="preserve">University of Colorado Health (UCHealth)</t>
  </si>
  <si>
    <t xml:space="preserve">University of Colorado Health</t>
  </si>
  <si>
    <t xml:space="preserve">UCHealth_BTS_Final Exp 2_2027.pdf</t>
  </si>
  <si>
    <t xml:space="preserve">US Med-Equip, LLC (on behalf of subsidiaries)</t>
  </si>
  <si>
    <t xml:space="preserve">2024-02-26</t>
  </si>
  <si>
    <t xml:space="preserve">2027-02-25</t>
  </si>
  <si>
    <t xml:space="preserve">No automatic renewal; renewals require prior written consent of both parties</t>
  </si>
  <si>
    <t xml:space="preserve">Either party without cause after 1st anniversary, 120 days notice; UCHealth may terminate for failed KPI performance or FM &gt;30 days (5 days notice)</t>
  </si>
  <si>
    <t xml:space="preserve">Fixed daily rates per Attachment B (beds, WAVE/T-Wave surfaces, bariatric frames/ancillaries); rental fee includes delivery, maintenance, training</t>
  </si>
  <si>
    <t xml:space="preserve">Fixed for term; any increase must be mutually agreed in writing</t>
  </si>
  <si>
    <t xml:space="preserve">USME primary supplier; UCHealth commits 90% of bed/therapeutic surface/bariatric rental; if missed, USME may bill difference to GPO access pricing (failing hospital only)</t>
  </si>
  <si>
    <t xml:space="preserve">Net 45 from later of invoice date or receipt; 15 business days notice before credit hold</t>
  </si>
  <si>
    <t xml:space="preserve">SLA penalties: 1% if avg delivery &gt;2 hrs + drive time, 1% pickup &gt;24 hrs, uptime 1% penalty &lt;98-99%, EPIC interface delay 2-3%, billing error credits 2-5%; replacement within 1 day; no-hire 12 months</t>
  </si>
  <si>
    <t xml:space="preserve">System-wide BTS agreement for UCHealth facilities (Exhibit D). Annual KPI scorecard and quarterly business reviews; technology upgrade option after year 1 at FMV.</t>
  </si>
  <si>
    <t xml:space="preserve">UF Health Shands</t>
  </si>
  <si>
    <t xml:space="preserve">Shands Jacksonville Medical Center, Inc. (UF Health Jacksonville / UF Health North)</t>
  </si>
  <si>
    <t xml:space="preserve">UF Shands Gainesville-Jacksonville</t>
  </si>
  <si>
    <t xml:space="preserve">UF Shands Jackson_Exp_4_11_2022_Auto_2023_LR.pdf</t>
  </si>
  <si>
    <t xml:space="preserve">Vizient CE2534 (Access Tier 1)</t>
  </si>
  <si>
    <t xml:space="preserve">2019 (OCR: '12th day of Feb(?) 2019'; filename implies ~2019-04-12)</t>
  </si>
  <si>
    <t xml:space="preserve">Initial term ~2022 (filename 2022-04-11); auto-renews annually, current term likely to ~2027-04</t>
  </si>
  <si>
    <t xml:space="preserve">Auto-renews successive 1-yr terms unless either party cancels in writing 30 days prior to desired termination date</t>
  </si>
  <si>
    <t xml:space="preserve">Either party by written cancellation 30 days prior (renewal terms); for breach after 30-day cure; insolvency</t>
  </si>
  <si>
    <t xml:space="preserve">Monthly rental per Vizient CE2534 Access Tier 1 pricing (infusion, respiratory, NICU/L&amp;D, monitoring, central supply); proposal: IPV-1C $17.68/day, $495/mo</t>
  </si>
  <si>
    <t xml:space="preserve">Not stated; equity option 25% of monthly rental paid (up to 12 months) toward purchase</t>
  </si>
  <si>
    <t xml:space="preserve">Monthly rent due 1st of each month</t>
  </si>
  <si>
    <t xml:space="preserve">Customer responsible for safekeeping and loss/damage; abuse repairs at customer cost; GL $1M/$3M; mutual consent to assign; equipment pickup cannot affect patient care</t>
  </si>
  <si>
    <t xml:space="preserve">USME Contract # R51618PP for UF Health Jacksonville MME rental. Effective date OCR is unclear and conflicts slightly with filename's 4/11 anniversary; 'Auto_2023_LR' filename tag suggests auto-renewal was being tracked.</t>
  </si>
  <si>
    <t xml:space="preserve">Shands Jacksonville Medical Center, Inc. and Shands Teaching Hospital and Clinics, Inc.</t>
  </si>
  <si>
    <t xml:space="preserve">UF Shands Amendment_Exp_02_29_28.pdf</t>
  </si>
  <si>
    <t xml:space="preserve">Vizient CE7782, CE9217, CE9205</t>
  </si>
  <si>
    <t xml:space="preserve">USMED-EQUIP</t>
  </si>
  <si>
    <t xml:space="preserve">2025-05-19</t>
  </si>
  <si>
    <t xml:space="preserve">Not stated explicitly; co-terminous with Vizient CE7782 (filename 2028-02-29)</t>
  </si>
  <si>
    <t xml:space="preserve">Either party, 30 days written notice without cause after Initial Term</t>
  </si>
  <si>
    <t xml:space="preserve">Per Vizient CE7782/CE9217/CE9205 pricing</t>
  </si>
  <si>
    <t xml:space="preserve">Amends 2019 agreement; adds six Gainesville/Jacksonville/Ocala facilities. Expiry ambiguous: 3 yrs from 5/19/2025 vs CE7782 end 9/30/2027.</t>
  </si>
  <si>
    <t xml:space="preserve">Shands Jacksonville Medical Center, Inc. and Shands Teaching Hospital and Clinics, Inc. (UF Health)</t>
  </si>
  <si>
    <t xml:space="preserve">UF Health</t>
  </si>
  <si>
    <t xml:space="preserve">UFH_USMED_Amendment_to_extend_and_add_locations_(1).pdf</t>
  </si>
  <si>
    <t xml:space="preserve">Vizient CE7782 (also CE9217, CE9205)</t>
  </si>
  <si>
    <t xml:space="preserve">USMED-EQUIP (as written)</t>
  </si>
  <si>
    <t xml:space="preserve">2025-05-19 (signed 2025-10-17; original Agreement 2019-10-01)</t>
  </si>
  <si>
    <t xml:space="preserve">~2028-05-18 per 3-yr term, but co-terminous with Vizient CE7782 (2027-09-30)</t>
  </si>
  <si>
    <t xml:space="preserve">Per original Agreement and Vizient CE7782/CE9217/CE9205 pricing</t>
  </si>
  <si>
    <t xml:space="preserve">Extends UF Health agreement and adds six facilities (Shands Gainesville, Cancer, Neuromedicine Heart &amp; Vascular, Jacksonville, UF Health North, Ocala Neighborhood). The 3-year term and CE7782 co-terminus language conflict on end date.</t>
  </si>
  <si>
    <t xml:space="preserve">UofL Health</t>
  </si>
  <si>
    <t xml:space="preserve">U of L Health</t>
  </si>
  <si>
    <t xml:space="preserve">UofL Health_End User Agmt_Vizient_exp 08.06.2029.pdf</t>
  </si>
  <si>
    <t xml:space="preserve">Vizient CE9205</t>
  </si>
  <si>
    <t xml:space="preserve">2026-08-07 (signature date)</t>
  </si>
  <si>
    <t xml:space="preserve">2029-08-06</t>
  </si>
  <si>
    <t xml:space="preserve">Vizient CE9205 pricing; Primary Supplier daily rates per Attachment A (e.g., Freedom 1000 $55.00/day)</t>
  </si>
  <si>
    <t xml:space="preserve">Only as permitted under CE9205</t>
  </si>
  <si>
    <t xml:space="preserve">Per Vizient CE9205 (not stated locally)</t>
  </si>
  <si>
    <t xml:space="preserve">Primary Vendor: 90% of annual rental spend on Attachment A equipment; customer excused if USME can't supply in time</t>
  </si>
  <si>
    <t xml:space="preserve">Net 30 via ACH; late fees capped at lesser of 1.5%/mo or legal max</t>
  </si>
  <si>
    <t xml:space="preserve">2-hr response plus drive time; 24/7 support; replace defective units at no cost; CE9205 controls in conflict; no consequential damages; CE9205 indemnity and failure-to-supply remedies preserved</t>
  </si>
  <si>
    <t xml:space="preserve">Local Vizient end-user agreement for bariatric/therapeutic beds and surfaces at 5 UofL hospitals (UofL, Jewish, Mary &amp; Elizabeth, Peace, Shelbyville). Customer-favorable failure-to-supply carve-out.</t>
  </si>
  <si>
    <t xml:space="preserve">Valley Children's Healthcare</t>
  </si>
  <si>
    <t xml:space="preserve">Valley Children's Hospital dba Valley Children's Homecare</t>
  </si>
  <si>
    <t xml:space="preserve">Valley Childrens</t>
  </si>
  <si>
    <t xml:space="preserve">Valley Childrens Homecare_Exp_03_31_29_auto renew.pdf</t>
  </si>
  <si>
    <t xml:space="preserve">2024-04-01</t>
  </si>
  <si>
    <t xml:space="preserve">Primary Vendor daily/monthly rates per Attachment A (ventilators, pumps, CPAP, etc.)</t>
  </si>
  <si>
    <t xml:space="preserve">None stated; 25% rental equity credit and 50% lost-equipment buyout credit value-adds</t>
  </si>
  <si>
    <t xml:space="preserve">Primary vendor: 90%+ of annual rental spend; customer may use others if USME cannot supply</t>
  </si>
  <si>
    <t xml:space="preserve">Net 30; repossession with 30 days written notice on non-payment</t>
  </si>
  <si>
    <t xml:space="preserve">Customer liable for abuse repairs (capped at reasonable equipment value); breaching party pays attorney fees; mutual indemnity; CGL $1M/$3M; mutual assignment consent; California law</t>
  </si>
  <si>
    <t xml:space="preserve">Homecare MME rental agreement (Contract #KS12122023LR) for Valley Children's Homecare.</t>
  </si>
  <si>
    <t xml:space="preserve">Valley Children's Hospital</t>
  </si>
  <si>
    <t xml:space="preserve">Valley Childrens Hospital_Exp_05_16_29_auto renew.pdf</t>
  </si>
  <si>
    <t xml:space="preserve">2024-05-17</t>
  </si>
  <si>
    <t xml:space="preserve">2029-05-16</t>
  </si>
  <si>
    <t xml:space="preserve">Either party, 30 days written notice at any time</t>
  </si>
  <si>
    <t xml:space="preserve">Daily/monthly rates per Attachment A (Primary Vendor pricing)</t>
  </si>
  <si>
    <t xml:space="preserve">Primary vendor: &gt;=90% of annual MME rental spend; customer may use others if USME cannot supply</t>
  </si>
  <si>
    <t xml:space="preserve">Net 30; 30 days notice before equipment return on non-payment</t>
  </si>
  <si>
    <t xml:space="preserve">Customer bears loss/damage and abuse; repair cost capped at reasonable equipment value; damage proof by photo; mutual fee-shifting; CGL $1M/$3M; California law</t>
  </si>
  <si>
    <t xml:space="preserve">Contract # KS05142024. 30-day termination for convenience undercuts 5-year term and 90% commitment.</t>
  </si>
  <si>
    <t xml:space="preserve">Vanderbilt Health (VHPC)</t>
  </si>
  <si>
    <t xml:space="preserve">Vanderbilt Health Purchasing Collaborative, LLC (VHPC)</t>
  </si>
  <si>
    <t xml:space="preserve">Vanderbilt Health PCo</t>
  </si>
  <si>
    <t xml:space="preserve">USME VHPC 3_Year Extension MME_BTS_Exp_10_31_2028.pdf</t>
  </si>
  <si>
    <t xml:space="preserve">VHPC LC16609</t>
  </si>
  <si>
    <t xml:space="preserve">2022-11-01 (amendment stated effective date; signed 2025-09-09)</t>
  </si>
  <si>
    <t xml:space="preserve">2028-10-31</t>
  </si>
  <si>
    <t xml:space="preserve">Underlying Supplier Agreement dated 2022-11-01; extended ~3 years to 2028-10-31</t>
  </si>
  <si>
    <t xml:space="preserve">Not stated (per underlying Supplier Agreement)</t>
  </si>
  <si>
    <t xml:space="preserve">Not stated (unchanged per Supplier Agreement)</t>
  </si>
  <si>
    <t xml:space="preserve">Not stated; all other Supplier Agreement terms unchanged</t>
  </si>
  <si>
    <t xml:space="preserve">Supplier Amendment No. Two extends VHPC contract LC16609 term to 10/31/2028; only change is term. Text refers to itself inconsistently as 'First Amendment'; effective date shown as 11/1/2022 though executed 9/2025.</t>
  </si>
  <si>
    <t xml:space="preserve">Veterans Affairs</t>
  </si>
  <si>
    <t xml:space="preserve">Department of Veterans Affairs, Rocky Mountain Regional VA Medical Center (Eastern Colorado VA HCS, NCO 19)</t>
  </si>
  <si>
    <t xml:space="preserve">Veteran Affairs - Rocky Mountain Med Ctr</t>
  </si>
  <si>
    <t xml:space="preserve">Rocky Mountain Medical Center BTS Exp_3_1_2031.pdf</t>
  </si>
  <si>
    <t xml:space="preserve">Direct (VA contract 36C25926P0277)</t>
  </si>
  <si>
    <t xml:space="preserve">2026-03-02</t>
  </si>
  <si>
    <t xml:space="preserve">2027-03-01 (base year); 2031-03-01 if all four option years exercised</t>
  </si>
  <si>
    <t xml:space="preserve">1-year base period</t>
  </si>
  <si>
    <t xml:space="preserve">Four 1-yr government options (FAR 52.217-9), total not to exceed 5 years; 52.217-8 up to 6-month extension</t>
  </si>
  <si>
    <t xml:space="preserve">Government may terminate for convenience at any time (FAR 52.212-4(l)); for cause with cure notice</t>
  </si>
  <si>
    <t xml:space="preserve">Firm daily rates, NTE quantities: VersaTech 600 ULB w/Wave $48.36/day; $107.25/day item; Freedom 1000 w/Advanced Wave XMS $98.88/day</t>
  </si>
  <si>
    <t xml:space="preserve">Fixed; same rates in all option years</t>
  </si>
  <si>
    <t xml:space="preserve">No minimum; orders as needed by designated ordering personnel up to NTE amounts</t>
  </si>
  <si>
    <t xml:space="preserve">Net 30; electronic invoicing via Tungsten; Prompt Payment Act interest</t>
  </si>
  <si>
    <t xml:space="preserve">FAR commercial terms: no consequential damages; patent indemnity; risk of loss with contractor until acceptance; security prohibitions clause 52.240-91</t>
  </si>
  <si>
    <t xml:space="preserve">Specialty/bariatric bed and mattress rental for Aurora, CO VA medical center; base year award $50,721, $137,541 total including options. Option years must be exercised by VA each year.</t>
  </si>
  <si>
    <t xml:space="preserve">Veterans Affairs (VA FSS)</t>
  </si>
  <si>
    <t xml:space="preserve">Department of Veterans Affairs, National Acquisition Center</t>
  </si>
  <si>
    <t xml:space="preserve">Veteran Affairs</t>
  </si>
  <si>
    <t xml:space="preserve">Veteran Affair_BTS_Exp_03_14_2029.pdf</t>
  </si>
  <si>
    <t xml:space="preserve">VA FSS 36F79719D0118</t>
  </si>
  <si>
    <t xml:space="preserve">Freedom Medical, Inc. (MedOne Rentals)</t>
  </si>
  <si>
    <t xml:space="preserve">2025-05-01 (modification P00010)</t>
  </si>
  <si>
    <t xml:space="preserve">2029-03-14</t>
  </si>
  <si>
    <t xml:space="preserve">Total performance period 2019-03-15 to 2029-03-14</t>
  </si>
  <si>
    <t xml:space="preserve">No further extension will be granted</t>
  </si>
  <si>
    <t xml:space="preserve">Not stated (FAR 52.212-4 terms)</t>
  </si>
  <si>
    <t xml:space="preserve">FSS awarded pricing tracked to Premier GPO (e.g., Posey 8070 bed $25.13/day incl. IFF; Freedom Comfort mattresses)</t>
  </si>
  <si>
    <t xml:space="preserve">Per base contract EPA clause</t>
  </si>
  <si>
    <t xml:space="preserve">Per base contract</t>
  </si>
  <si>
    <t xml:space="preserve">Must update GSA Advantage and FSS price list</t>
  </si>
  <si>
    <t xml:space="preserve">Unilateral Government option exercise extending VA FSS contract through 3/14/2029 (final). Estimated 10-year value reduced from $1.2M to about $376.5K.</t>
  </si>
  <si>
    <t xml:space="preserve">Veterans Affairs (VA)</t>
  </si>
  <si>
    <t xml:space="preserve">Department of Veterans Affairs, NCO 17 (Amarillo VA Medical Center)</t>
  </si>
  <si>
    <t xml:space="preserve">VA Amarillo Medical Center Exp_10_30_2030.pdf</t>
  </si>
  <si>
    <t xml:space="preserve">Direct (VA contract 36C25726P0023)</t>
  </si>
  <si>
    <t xml:space="preserve">2025-10-31</t>
  </si>
  <si>
    <t xml:space="preserve">2026-10-30 base; 2030-10-30 if all 4 option years exercised</t>
  </si>
  <si>
    <t xml:space="preserve">1-year base + four 1-yr options</t>
  </si>
  <si>
    <t xml:space="preserve">Government option years (FAR 52.217-9) plus up to 6-month extension (52.217-8)</t>
  </si>
  <si>
    <t xml:space="preserve">Government termination for convenience (FAR 52.212-4(l)); customer-only</t>
  </si>
  <si>
    <t xml:space="preserve">Daily rates fixed all years: LAL mattress $17.10, IME Elite low bed $27.55, bariatric low bed $55.00, bariatric LAL mattress $24.38 (400 days each)</t>
  </si>
  <si>
    <t xml:space="preserve">Fixed for base and option years</t>
  </si>
  <si>
    <t xml:space="preserve">None; base award $49,612 (total $248,060 incl. options)</t>
  </si>
  <si>
    <t xml:space="preserve">Prompt Payment Act; invoices via Tungsten e-invoicing monthly</t>
  </si>
  <si>
    <t xml:space="preserve">Deliver within 4 hrs; replace non-working equipment within 4 hrs; tech on site within 4 hrs; pickup within 24 hrs; govt insurance minimums per FAR 52.228-5</t>
  </si>
  <si>
    <t xml:space="preserve">Bed/surface rental for Amarillo VA. Base year ends 2026-10-30, three weeks out - confirm VA exercises option year 1.</t>
  </si>
  <si>
    <t xml:space="preserve">VGM Group</t>
  </si>
  <si>
    <t xml:space="preserve">VGM Group, Inc.</t>
  </si>
  <si>
    <t xml:space="preserve">VGM_MME_BioMed_Exp_4_30_2024_ext 2027.pdf</t>
  </si>
  <si>
    <t xml:space="preserve">MME Rental, Biomed/Repair Service</t>
  </si>
  <si>
    <t xml:space="preserve">VGM Group GPO Product Supply Agreement (Direct GPO)</t>
  </si>
  <si>
    <t xml:space="preserve">2021-05-04 (signed ~2021-04-10)</t>
  </si>
  <si>
    <t xml:space="preserve">2024-04-30 initial; auto-renewed to 2027-04-30</t>
  </si>
  <si>
    <t xml:space="preserve">Auto-renews for 3-yr terms unless 120 days notice before renewal</t>
  </si>
  <si>
    <t xml:space="preserve">VGM may cancel without cause on 120 days notice; mutual by agreement; $7,500 minimum fee shortfall allows cancel on 30 days notice</t>
  </si>
  <si>
    <t xml:space="preserve">Attachment A: VGM Access tier (no commitment) and Preferred Partnership 95% LOC daily/monthly rates; 10% off published biomed PM rates</t>
  </si>
  <si>
    <t xml:space="preserve">Up to supplier with 60 days notice to VGM; no increase in first 12 months</t>
  </si>
  <si>
    <t xml:space="preserve">3% admin fee on monthly Net Sales; $7,500 one-time first-year fee credited against fees; 10% penalty and up to 18% interest on late fees</t>
  </si>
  <si>
    <t xml:space="preserve">Preferred tier requires member 95% MME rental commitment, DSO &lt;=30 days, bi-annual reviews and leakage reports; otherwise moves to Access pricing</t>
  </si>
  <si>
    <t xml:space="preserve">Supplier standard terms (members); admin fees within 30 days of month end</t>
  </si>
  <si>
    <t xml:space="preserve">Mutual indemnity incl. data breach; audit right (supplier pays if underpaid &gt;10%); asset sale requires buyout of PV of remaining fee stream unless successor bound</t>
  </si>
  <si>
    <t xml:space="preserve">Post-acute/HME-oriented GPO. Filename 'ext 2027' consistent with automatic 3-yr renewal through 2027-04-30.</t>
  </si>
  <si>
    <t xml:space="preserve">Vizient</t>
  </si>
  <si>
    <t xml:space="preserve">Vizient Supply, LLC for the benefit of The Methodist Hospital d/b/a Houston Methodist</t>
  </si>
  <si>
    <t xml:space="preserve">GPO/Vizient/Vizient Captis_CE7782_CE7782AE_CE7782AG/CE7782AE</t>
  </si>
  <si>
    <t xml:space="preserve">Houston Methodist MME Exp 9_30_2027_ext 2029.pdf</t>
  </si>
  <si>
    <t xml:space="preserve">Vizient CE7782 (Addendum CE7782AE)</t>
  </si>
  <si>
    <t xml:space="preserve">2027-09-30 (co-terminous with CE7782; up to two 1-yr renewals to 2029)</t>
  </si>
  <si>
    <t xml:space="preserve">Co-terminous with base agreement</t>
  </si>
  <si>
    <t xml:space="preserve">Extends automatically with base agreement renewals (up to two 1-yr terms)</t>
  </si>
  <si>
    <t xml:space="preserve">Vizient, 90 days written notice without cause; terminates with base agreement</t>
  </si>
  <si>
    <t xml:space="preserve">Custom daily/monthly rates per Exhibit B for Houston Methodist System ID 2450700</t>
  </si>
  <si>
    <t xml:space="preserve">Firm through term of Addendum</t>
  </si>
  <si>
    <t xml:space="preserve">2% Primary Supplier Rebate on Net Sales if Net Sales &gt;=90% of prior period; Vizient admin fees per base agreement</t>
  </si>
  <si>
    <t xml:space="preserve">No purchase requirement; rebate tied to maintaining 90% of prior-period sales</t>
  </si>
  <si>
    <t xml:space="preserve">Per base agreement (Section 5.C); undisputed invoices must be paid to earn rebate</t>
  </si>
  <si>
    <t xml:space="preserve">Houston Methodist custom pricing addendum under Vizient MME contract CE7782. Filename notes extension to 2029; renewal not evidenced in this document.</t>
  </si>
  <si>
    <t xml:space="preserve">Vizient Supply, LLC for the benefit of Cooperative Services of Florida, Inc. (CSF)</t>
  </si>
  <si>
    <t xml:space="preserve">Cooperative Services of Florida (CSF)</t>
  </si>
  <si>
    <t xml:space="preserve">CSF_Vizient_MME_Exp_09_30_27.pdf</t>
  </si>
  <si>
    <t xml:space="preserve">Vizient CE7782AA (addendum to CE7782)</t>
  </si>
  <si>
    <t xml:space="preserve">2027-09-30 (coterminous with Base Agreement CE7782)</t>
  </si>
  <si>
    <t xml:space="preserve">3 years (Base Agreement term)</t>
  </si>
  <si>
    <t xml:space="preserve">Auto-extends with Base Agreement (up to two 1-yr renewals); value continues via new addendum or Custom Agreement through 2027-09-30</t>
  </si>
  <si>
    <t xml:space="preserve">Exhibit B member-specific daily rates below CE7782 base pricing (MME, respiratory, monitors, pumps)</t>
  </si>
  <si>
    <t xml:space="preserve">Pricing firm through term of Addendum</t>
  </si>
  <si>
    <t xml:space="preserve">Vizient admin fees on all Participating Member purchases per Base Agreement; Exhibit C rebate programs intentionally left blank</t>
  </si>
  <si>
    <t xml:space="preserve">No purchase requirement; price reductions conditioned on Exhibit C requirements (blank)</t>
  </si>
  <si>
    <t xml:space="preserve">Per Base Agreement CE7782</t>
  </si>
  <si>
    <t xml:space="preserve">Not stated (Base Agreement governs)</t>
  </si>
  <si>
    <t xml:space="preserve">CSF member-specific pricing addendum (Exhibit A members incl. Jupiter Medical Center). Sales reported under CE7782.</t>
  </si>
  <si>
    <t xml:space="preserve">Vizient Supply, LLC</t>
  </si>
  <si>
    <t xml:space="preserve">GPO/Vizient/Vizient Captis_CE7782_CE7782AE_CE7782AG/CE7782</t>
  </si>
  <si>
    <t xml:space="preserve">Vizient_MME_CE7782_Exp_9_30_27_ext 2029.pdf</t>
  </si>
  <si>
    <t xml:space="preserve">2027-09-30 (initial); 2029-09-30 with both auto-renewals</t>
  </si>
  <si>
    <t xml:space="preserve">Auto-renews two 1-yr terms unless Vizient gives 90 days or USME 180 days notice</t>
  </si>
  <si>
    <t xml:space="preserve">Vizient may terminate anytime with or without cause on 90 days notice; Vizient may delete products on 60 days</t>
  </si>
  <si>
    <t xml:space="preserve">Exhibit A three-tier pricing: Tier 1 Access (no commitment), Tier 2 Partnership (80% of rental spend), Tier 3 Preferred Partnership (90%)</t>
  </si>
  <si>
    <t xml:space="preserve">Fixed for Initial Term; one increase in renewal term, 180 days notice, lower of PPI (3391) change or 1-3%</t>
  </si>
  <si>
    <t xml:space="preserve">Vizient admin fee 3% of Net Sales; committed program rebate 2.7% of Net Sales to compliant participants (quarterly)</t>
  </si>
  <si>
    <t xml:space="preserve">Tier commitments 80%/90%; USME may re-tier member after 60-day cure; Vizient must remain A-Tier GPO (best pricing/terms)</t>
  </si>
  <si>
    <t xml:space="preserve">1% 10, net 30 for ACH; 1.5%/month late interest; credit hold and move to Tier 1 on non-payment</t>
  </si>
  <si>
    <t xml:space="preserve">A-Tier GPO MFN with 10-day price-compliance response; liquidated damages for price corrections ($500-$2,500) and late sales reports ($500-$4,000); failure-to-supply LDs; 98% uptime acceptance; 90% fill rate</t>
  </si>
  <si>
    <t xml:space="preserve">National Vizient MME rental agreement (includes Captis-related addenda family CE7782AE/AG); base contract referenced by many member MSP addenda. Filename 'Exp 9/30/27 ext 2029' matches term plus two renewals.</t>
  </si>
  <si>
    <t xml:space="preserve">GPO/Vizient/Vizient MSS_CE9205_CE9205AA</t>
  </si>
  <si>
    <t xml:space="preserve">Vizient Rental BTS CE9205 Exp 2_28_2028.pdf</t>
  </si>
  <si>
    <t xml:space="preserve">2028-02-28</t>
  </si>
  <si>
    <t xml:space="preserve">Auto-renews for two 1-yr terms unless Vizient gives 90 days or Supplier 180 days notice</t>
  </si>
  <si>
    <t xml:space="preserve">Vizient may terminate without cause on 90 days notice (Vizient-only); Vizient may delete products on 60 days notice</t>
  </si>
  <si>
    <t xml:space="preserve">Bariatric/therapeutic beds &amp; surfaces rental; Tier 1 Access, Tier 2 (80% or $100K-$300K), Tier 3 (IDN/AMC or $300K-$1M), Tier 4 ($1M+)</t>
  </si>
  <si>
    <t xml:space="preserve">Fixed for initial term; one increase in renewal term, 180 days notice, lower of PPI (hospital beds) or 1-3%</t>
  </si>
  <si>
    <t xml:space="preserve">Vizient admin fee 3% of Net Sales; Impact General Medical Standardization Program rebate 4% of Net Sales to compliant participants plus 0.3% Impact Fee to Vizient</t>
  </si>
  <si>
    <t xml:space="preserve">Tier 2 requires 80% commitment; 60-day cure before tier move; Vizient designated A-Tier GPO (best pricing vs other GPOs)</t>
  </si>
  <si>
    <t xml:space="preserve">1% 10, Net 30 for ACH payments; 1.5%/month late charge on admin fees</t>
  </si>
  <si>
    <t xml:space="preserve">A-Tier GPO best-price obligation with 10-day price correction; price-correction LDs $500/$1,000/$2,500; failure-to-supply LDs; 90% fill rate; unauthorized increase = material breach</t>
  </si>
  <si>
    <t xml:space="preserve">Successor to Vizient CE3363 BTS rental agreement. Folder references MSS addendum CE9205AA but addendum not found in this document text.</t>
  </si>
  <si>
    <t xml:space="preserve">GPO/Vizient/Vizient Captis BTS_CE9217_CE9217AA/CE9217</t>
  </si>
  <si>
    <t xml:space="preserve">Vizient Purchase_BTS CE9217 Exp 2_28_2028_ext 2030.pdf</t>
  </si>
  <si>
    <t xml:space="preserve">Other</t>
  </si>
  <si>
    <t xml:space="preserve">Vizient CE9217</t>
  </si>
  <si>
    <t xml:space="preserve">2028-02-29 initial; up to 2030 with renewals</t>
  </si>
  <si>
    <t xml:space="preserve">Auto-renews two 1-yr terms unless Vizient gives 90 days or Supplier 180 days notice</t>
  </si>
  <si>
    <t xml:space="preserve">Vizient without cause, 90 days written notice; immediate for compliance/bankruptcy breaches</t>
  </si>
  <si>
    <t xml:space="preserve">Capital purchase prices per Exhibit A, Tiers 1-3 (T2: 80% commitment or $50K-$150K/yr; T3: IDN/AMC/agg group or $150K+); e.g., Paramount A6 $7,150-$7,700</t>
  </si>
  <si>
    <t xml:space="preserve">Fixed initial term; one adjustment in renewal, lower of PPI (hospital beds) or 1-3%, 180 days notice</t>
  </si>
  <si>
    <t xml:space="preserve">3% Vizient admin fee on Net Sales; late fee 1.5%/month</t>
  </si>
  <si>
    <t xml:space="preserve">Vizient is A-Tier GPO (most competitive pricing); fill rate 90%</t>
  </si>
  <si>
    <t xml:space="preserve">1%/10 net 30 for ACH payments</t>
  </si>
  <si>
    <t xml:space="preserve">MFN/A-Tier pricing; liquidated damages for price corrections ($500-$2,500) and late reports ($500-$4,000); failure-to-supply damages; 98% uptime acceptance test</t>
  </si>
  <si>
    <t xml:space="preserve">Vizient Captis capital purchase agreement for bariatric/therapeutic beds and surfaces (new equipment sale, not rental): Paramount, Rotec, VitalGo, La-Z-Boy, Convertible mattresses.</t>
  </si>
  <si>
    <t xml:space="preserve">Vizient Supply, LLC for the benefit of Mid-America Service Solutions, LLC (MSS)</t>
  </si>
  <si>
    <t xml:space="preserve">MSS_US_Med-Equip_BTS_Rental Exp 2.28.28.pdf</t>
  </si>
  <si>
    <t xml:space="preserve">Vizient CE9205 (Addendum CE9205AA)</t>
  </si>
  <si>
    <t xml:space="preserve">2028-07-31 (MSS End Date; base CE9205 ends 2028-02-28)</t>
  </si>
  <si>
    <t xml:space="preserve">Through 2028-07-31</t>
  </si>
  <si>
    <t xml:space="preserve">Value must continue via new addendum or custom agreement through MSS End Date if base expires</t>
  </si>
  <si>
    <t xml:space="preserve">Vizient, 90 days written notice without cause; terminates if base agreement terminated early</t>
  </si>
  <si>
    <t xml:space="preserve">MSS Tier 1 Access (no commitment) and MSS Tier 2 (80% aggregate commitment) daily rates; lowest base price for new products</t>
  </si>
  <si>
    <t xml:space="preserve">2% Maintenance Rebate on Net Sales per 12-mo period, paid within 60 days; Vizient admin fees per base</t>
  </si>
  <si>
    <t xml:space="preserve">Tier 2 requires 80% aggregate commitment; annual review, 90-day cure, then reprice up to Tier 1</t>
  </si>
  <si>
    <t xml:space="preserve">USME obligated to carry pricing/admin fees/rebates past base expiry via custom agreement if no new Vizient award</t>
  </si>
  <si>
    <t xml:space="preserve">MSS coalition addendum (Midwest members) to Vizient BTS rental contract CE9205. Note filename expiry 2/28/2028 is base agreement; addendum runs to 7/31/2028.</t>
  </si>
  <si>
    <t xml:space="preserve">Vizient (Captis Health)</t>
  </si>
  <si>
    <t xml:space="preserve">Vizient Supply, LLC for the benefit of Captis Health, LLC</t>
  </si>
  <si>
    <t xml:space="preserve">GPO/Vizient/Vizient Captis BTS_CE9217_CE9217AA/CE9217AA</t>
  </si>
  <si>
    <t xml:space="preserve">Vizient Captis BTS Rental CE9217AA Exp 2_29_2028.pdf</t>
  </si>
  <si>
    <t xml:space="preserve">Vizient CE9217AA (addendum to CE9217)</t>
  </si>
  <si>
    <t xml:space="preserve">2025-06-15</t>
  </si>
  <si>
    <t xml:space="preserve">Coterminous with Base Agreement (dated 2025-03-01)</t>
  </si>
  <si>
    <t xml:space="preserve">Extends with Base Agreement but not beyond 2028-02-29 (Captis End Date); continues as Custom Agreement if no new Vizient award</t>
  </si>
  <si>
    <t xml:space="preserve">Vizient only, without cause, 90 days written notice</t>
  </si>
  <si>
    <t xml:space="preserve">Exhibit A tiered daily pricing: Access (no commitment), Tier 1 individual member commitment, Tier 2 80% commitment</t>
  </si>
  <si>
    <t xml:space="preserve">Firm through Captis End Date except price reductions</t>
  </si>
  <si>
    <t xml:space="preserve">3% maintenance rebate on net sales; additional 2% loyalty rebate for Tier 2+ commitment here and on CE7782AG; paid annually within 60 days; Vizient admin fees per Base Agreement</t>
  </si>
  <si>
    <t xml:space="preserve">80% compliance target for tier pricing; 90-day cure then pricing adjusted (not above Access tier)</t>
  </si>
  <si>
    <t xml:space="preserve">Rebate void if DSO &gt;30 days; forfeited if DSO &gt;90 days</t>
  </si>
  <si>
    <t xml:space="preserve">Preferred Customer clause: USME must lower prices as needed for market competitiveness (MFN-like); withdrawal needs 180 days notice; immediate repayment of billing/rebate errors</t>
  </si>
  <si>
    <t xml:space="preserve">Captis Health member addendum for bariatric/therapeutic beds and surfaces. Rebates cannot be combined with other programs.</t>
  </si>
  <si>
    <t xml:space="preserve">Vizient (Captis)</t>
  </si>
  <si>
    <t xml:space="preserve">GPO/Vizient/Vizient Captis_CE7782_CE7782AE_CE7782AG/CE7782AG</t>
  </si>
  <si>
    <t xml:space="preserve">Captis MME Rental CE7782AG Exp 2_29_2028.pdf</t>
  </si>
  <si>
    <t xml:space="preserve">Vizient CE7782AG</t>
  </si>
  <si>
    <t xml:space="preserve">2028-02-29 (Captis End Date; base CE7782 ends 2027-09-30)</t>
  </si>
  <si>
    <t xml:space="preserve">Coterminous with base agreement, capped at 2028-02-29</t>
  </si>
  <si>
    <t xml:space="preserve">Extends with base; continues as custom agreement to 2028-02-29 if no new award</t>
  </si>
  <si>
    <t xml:space="preserve">Vizient may terminate addendum without cause on 90 days notice</t>
  </si>
  <si>
    <t xml:space="preserve">Exhibit A Access vs Committed daily/monthly pricing; 80% Compliance Target for committed pricing</t>
  </si>
  <si>
    <t xml:space="preserve">Firm through Captis End Date except reductions; new base products at base price</t>
  </si>
  <si>
    <t xml:space="preserve">Vizient admin fees per base; 3% Maintenance Rebate; 2% Loyalty Rebate for Tier 2+ on this and CE9217AA; no rebate if DSO &gt;30, forfeited if &gt;90</t>
  </si>
  <si>
    <t xml:space="preserve">80% of annual category purchases for committed pricing; 90-day cure then repricing up to Access Tier; no purchase obligation</t>
  </si>
  <si>
    <t xml:space="preserve">Preferred Customer clause: must keep most competitive pricing (180 days notice to withdraw); immediate repayment of billing/rebate errors</t>
  </si>
  <si>
    <t xml:space="preserve">Captis member addendum to Vizient CE7782 MME rental; sales reported under CE7782. Value must be preserved through 2/29/2028 even without new Vizient award.</t>
  </si>
  <si>
    <t xml:space="preserve">Vizient / Myriadd</t>
  </si>
  <si>
    <t xml:space="preserve">Vizient Supply, LLC for the benefit of Myriadd Supply Network, LLC</t>
  </si>
  <si>
    <t xml:space="preserve">Myriadd</t>
  </si>
  <si>
    <t xml:space="preserve">Myriadd _Vizient_MME_Exp9_30_27.pdf</t>
  </si>
  <si>
    <t xml:space="preserve">Vizient CE7782AC (addendum to CE7782)</t>
  </si>
  <si>
    <t xml:space="preserve">Coterminous with CE7782 base agreement (to 2027-09-30)</t>
  </si>
  <si>
    <t xml:space="preserve">Extends with base agreement (two 1-yr renewal options on base)</t>
  </si>
  <si>
    <t xml:space="preserve">Vizient may terminate addendum without cause on 90 days notice; terminates with base agreement</t>
  </si>
  <si>
    <t xml:space="preserve">Tier 1 access and Tier 2 (90%+ of rental requirements) per Exhibit B; firm for term</t>
  </si>
  <si>
    <t xml:space="preserve">Pricing firm through term</t>
  </si>
  <si>
    <t xml:space="preserve">3% annual purchase rebate for members renting 90%+ from USME, paid to Myriadd within 60 days; Vizient admin fees per base agreement</t>
  </si>
  <si>
    <t xml:space="preserve">Tier 2 and rebate require 90% of rental requirements; no purchase obligation; value must be preserved in any successor or custom agreement</t>
  </si>
  <si>
    <t xml:space="preserve">30 days DSO for rebate eligibility; rebate forfeited if past-due not cured 60 days after period</t>
  </si>
  <si>
    <t xml:space="preserve">Value-carryover obligation if no new Vizient award; Vizient may terminate immediately on conviction</t>
  </si>
  <si>
    <t xml:space="preserve">Myriadd (MultiCare-affiliated) Vizient MME addendum with enhanced tiered pricing and 3% rebate. Sales reported under CE7782.</t>
  </si>
  <si>
    <t xml:space="preserve">Vizient / Providence</t>
  </si>
  <si>
    <t xml:space="preserve">Vizient Supply, LLC for the benefit of Providence St. Joseph Health (ProvSource)</t>
  </si>
  <si>
    <t xml:space="preserve">Providence St. Joseph</t>
  </si>
  <si>
    <t xml:space="preserve">ProvSource_MME_Exp_09_30_27_ext 2029.pdf</t>
  </si>
  <si>
    <t xml:space="preserve">Vizient PCE7782 (custom addendum to CE7782)</t>
  </si>
  <si>
    <t xml:space="preserve">2027-09-30 (coterminous with CE7782; up to 2029 with two 1-yr base renewals)</t>
  </si>
  <si>
    <t xml:space="preserve">Coterminous with CE7782 base agreement</t>
  </si>
  <si>
    <t xml:space="preserve">Exhibit B custom line-item daily/monthly rates, uniform across ProvSource system; must be at or better than USME's 10th-percentile price to any customer</t>
  </si>
  <si>
    <t xml:space="preserve">Firm for term, subject to decreases under base agreement</t>
  </si>
  <si>
    <t xml:space="preserve">Vizient admin fees per CE7782; rebate programs intentionally omitted</t>
  </si>
  <si>
    <t xml:space="preserve">No purchase obligation; MWVLDBE carve-outs do not affect tier compliance</t>
  </si>
  <si>
    <t xml:space="preserve">1% 10 days via ACH, net 45 via ACH</t>
  </si>
  <si>
    <t xml:space="preserve">10th-percentile best-price warranty requiring amendments to lower non-compliant prices (MFN-like); risk of loss passes to facility on possession; Tier II diversity reporting quarterly</t>
  </si>
  <si>
    <t xml:space="preserve">System-wide Providence MME pricing addendum (Renton, WA system ID 43193). Sales reported under PCE7782. The 10th-percentile price clause is a significant ongoing pricing constraint.</t>
  </si>
  <si>
    <t xml:space="preserve">Wave Healthcare</t>
  </si>
  <si>
    <t xml:space="preserve">Wave Healthcare rental Agreement_Exp_03_17_2027_Auto Renew.pdf</t>
  </si>
  <si>
    <t xml:space="preserve">Direct (Contract # WH03182024JD)</t>
  </si>
  <si>
    <t xml:space="preserve">2024-03-18</t>
  </si>
  <si>
    <t xml:space="preserve">2027-03-17</t>
  </si>
  <si>
    <t xml:space="preserve">Either party without cause on 30 days notice, only after Initial Term</t>
  </si>
  <si>
    <t xml:space="preserve">Monthly rates per Attachment A: Trilogy 100 and Trilogy 200 ventilators $185.00/month</t>
  </si>
  <si>
    <t xml:space="preserve">Primary vendor: 90%+ of annual rental spend</t>
  </si>
  <si>
    <t xml:space="preserve">Net 30; collection/attorney costs</t>
  </si>
  <si>
    <t xml:space="preserve">Customer liable for repair/replacement of lost/damaged equipment and full new cost if not returned in good condition; mutual indemnity; CGL $1M/$3M; Texas law</t>
  </si>
  <si>
    <t xml:space="preserve">Small ventilator rental agreement with a Texas customer.</t>
  </si>
  <si>
    <t xml:space="preserve">WellSpan Health</t>
  </si>
  <si>
    <t xml:space="preserve">Wellspan</t>
  </si>
  <si>
    <t xml:space="preserve">Wellspan agreement_MME_Exp_7_31_2030_Auto Renew.pdf</t>
  </si>
  <si>
    <t xml:space="preserve">Either party may terminate without cause at any time (notice period garbled in text); 60-day cure for breach</t>
  </si>
  <si>
    <t xml:space="preserve">Daily/monthly rates per Attachment A (Primary Vendor pricing); contract # 03102025JWS</t>
  </si>
  <si>
    <t xml:space="preserve">Fixed until 2nd anniversary; then max 1x/yr by lesser of 2.5% or CPI-U</t>
  </si>
  <si>
    <t xml:space="preserve">Rebate if primary supplier for 2 verticals (2%) or 3 verticals (4%) of MME/BTS/ASAP; requires net 30 good standing and ACH</t>
  </si>
  <si>
    <t xml:space="preserve">Primary Vendor: 90% of rental spend; 60-day cure, else list pricing for remaining term</t>
  </si>
  <si>
    <t xml:space="preserve">Net 30; interest lesser of 1.5%/month or legal max on undisputed invoices; credit hold right</t>
  </si>
  <si>
    <t xml:space="preserve">Customer liable for loss/damage and insures at replacement cost; mutual indemnity; no consequential damages; USME CGL $2M/$5M; customer may not assign w/o consent; PA law, York County</t>
  </si>
  <si>
    <t xml:space="preserve">USME-template MME agreement with multi-vertical rebate incentive to pull in BTS and asset management. Escalator capped lower (2.5%) than other USME templates.</t>
  </si>
  <si>
    <t xml:space="preserve">Willis-Knighton Health System</t>
  </si>
  <si>
    <t xml:space="preserve">Willis Knighton Health</t>
  </si>
  <si>
    <t xml:space="preserve">Willis_Knighton_BTS_Exp_04_30_2029.pdf</t>
  </si>
  <si>
    <t xml:space="preserve">2029-04-30</t>
  </si>
  <si>
    <t xml:space="preserve">None stated; after initial term continues terminable by either party on 90 days notice</t>
  </si>
  <si>
    <t xml:space="preserve">None during initial term; after initial term either party 90 days written notice</t>
  </si>
  <si>
    <t xml:space="preserve">Daily rates per Attachment A (Primary Vendor pricing; bariatric and Freedom surfaces); pricing effective until termination</t>
  </si>
  <si>
    <t xml:space="preserve">Not stated (pricing effective until termination)</t>
  </si>
  <si>
    <t xml:space="preserve">Primary vendor: &gt;=80% of annual rental spend for covered equipment; 60-day cure then list pricing for remainder</t>
  </si>
  <si>
    <t xml:space="preserve">Net 30; 1.5%/mo late interest; credit hold and list pricing for new equipment on non-payment</t>
  </si>
  <si>
    <t xml:space="preserve">Customer bears loss/damage and must insure equipment at replacement cost; mutual indemnity; no consequential damages; CGL $1M/$3M; Louisiana law, Harris County TX venue</t>
  </si>
  <si>
    <t xml:space="preserve">Contract # JD04162025WK. Covers Willis-Knighton facilities plus DeSoto Regional, North Caddo, Holy Angels (LA).</t>
  </si>
  <si>
    <t xml:space="preserve">Ardent Health</t>
  </si>
  <si>
    <t xml:space="preserve">AHS Management Company, Inc. (Ardent Health Services)</t>
  </si>
  <si>
    <t xml:space="preserve">Ardent</t>
  </si>
  <si>
    <t xml:space="preserve">Ardent_HPG_MME_SIP_Exp 9_30_2024.pdf</t>
  </si>
  <si>
    <t xml:space="preserve">2022-06-30 (signed; HPG-7093 effective 2021-08-01)</t>
  </si>
  <si>
    <t xml:space="preserve">Not stated (tied to HPG-7093; filename indicates 2024-09-30)</t>
  </si>
  <si>
    <t xml:space="preserve">Group may exit SIP on 30 days written notice; HealthTrust may terminate on 30 days; USME may terminate for missed commitment after 60-day cure</t>
  </si>
  <si>
    <t xml:space="preserve">Committed Price per HPG-7093 Exhibit A (SIP tier)</t>
  </si>
  <si>
    <t xml:space="preserve">Group commits to 80% of requirements for products; failure lets USME revert to standard HPG agreement pricing</t>
  </si>
  <si>
    <t xml:space="preserve">HPG Standardization Incentive Program acknowledgement covering Ardent facilities (Lovelace NM, UT Health East Texas, St. Francis Topeka, Seton Harker Heights, Hackensack UMC Mountainside). Expiration only from filename (9/30/2024); status depends on HPG-7093 extension. [Review note: tied to HPG-7093, which was extended to 7/31/2029; confirm SIP/LOP continues under the extension.]</t>
  </si>
  <si>
    <t xml:space="preserve">AVEM Health</t>
  </si>
  <si>
    <t xml:space="preserve">AVEM Health Partners (Rural Wellness Anadarko, Stroud, Fairfax - OK)</t>
  </si>
  <si>
    <t xml:space="preserve">AVEM</t>
  </si>
  <si>
    <t xml:space="preserve">AVEM Health _HPG_SIP_Exp_9_30_2026_LR.pdf</t>
  </si>
  <si>
    <t xml:space="preserve">2022-02-23 (signed); HPG-7093 effective 2021-08-01</t>
  </si>
  <si>
    <t xml:space="preserve">2026-09-30 (per filename; not stated in text)</t>
  </si>
  <si>
    <t xml:space="preserve">Not stated (tied to HPG-7093)</t>
  </si>
  <si>
    <t xml:space="preserve">None stated; follows HPG-7093</t>
  </si>
  <si>
    <t xml:space="preserve">Group/Purchaser any time on 30 days written notice; HealthTrust may also terminate on 30 days</t>
  </si>
  <si>
    <t xml:space="preserve">SIP Committed Price per Exhibit A (HPG-7093 pricing exhibit; OCR largely illegible)</t>
  </si>
  <si>
    <t xml:space="preserve">Not stated in SIP (HPG admin fees under master agreement)</t>
  </si>
  <si>
    <t xml:space="preserve">80% of Group requirements for Products; USME sole remedy for non-compliance is SIP termination after 60-day cure, then revert to HPG-7093 pricing</t>
  </si>
  <si>
    <t xml:space="preserve">No notable risk terms in SIP form</t>
  </si>
  <si>
    <t xml:space="preserve">SIP for 3 Oklahoma rural hospitals under HPG-7093. Expiration only from filename (9/30/2026), now passed; confirm whether HPG-7093/SIP extended. [Review note: tied to HPG-7093, which was extended to 7/31/2029; confirm SIP/LOP continues under the extension.]</t>
  </si>
  <si>
    <t xml:space="preserve">Community Health Systems (CHS)</t>
  </si>
  <si>
    <t xml:space="preserve">CHSPSC, LLC (Community Health Systems)</t>
  </si>
  <si>
    <t xml:space="preserve">CHS</t>
  </si>
  <si>
    <t xml:space="preserve">CHS_MME_HPG_SIP_Exp_9_30_2024.pdf</t>
  </si>
  <si>
    <t xml:space="preserve">2021-08-01 (HPG agreement); SIP signed 2022-01-17</t>
  </si>
  <si>
    <t xml:space="preserve">Not stated (filename: 2024-09-30)</t>
  </si>
  <si>
    <t xml:space="preserve">Not stated (co-terminous with HPG-7093)</t>
  </si>
  <si>
    <t xml:space="preserve">Group may terminate SIP on 30 days notice; HealthTrust may terminate on 30 days notice; vendor may terminate after 60-day cure if commitment missed</t>
  </si>
  <si>
    <t xml:space="preserve">SIP Committed Price per Exhibit A of HPG-7093</t>
  </si>
  <si>
    <t xml:space="preserve">Group commits to buy at least 80% of requirements for Products from USME; vendor sole remedy for shortfall is SIP termination and reversion to agreement pricing</t>
  </si>
  <si>
    <t xml:space="preserve">Not stated (governed by HPG-7093)</t>
  </si>
  <si>
    <t xml:space="preserve">Large CHS facility schedule (~70+ hospitals across TN, FL, MS, OK, AZ, IN, PA etc.). Expiration (2024-09-30) only in filename; SIP has no own term and follows HPG-7093, which other files show running to 2026 - verify status. [Review note: tied to HPG-7093, which was extended to 7/31/2029; confirm SIP/LOP continues under the extension.]</t>
  </si>
  <si>
    <t xml:space="preserve">Doctors Hospital at Renaissance (DHR)</t>
  </si>
  <si>
    <t xml:space="preserve">Doctors Hospital at Renaissance</t>
  </si>
  <si>
    <t xml:space="preserve">Doctors Hosp Renaissance (DHR)</t>
  </si>
  <si>
    <t xml:space="preserve">DHR SIP Exp 7_1_2026_LR.pdf</t>
  </si>
  <si>
    <t xml:space="preserve">Not stated (signed ~3/2021; HPG-7093 effective 2021-08-01)</t>
  </si>
  <si>
    <t xml:space="preserve">Not stated (filename: 2026-07-01)</t>
  </si>
  <si>
    <t xml:space="preserve">Group may exit SIP anytime on 30 days notice; HealthTrust on 30 days; USME only for missed commitment after 60-day cure</t>
  </si>
  <si>
    <t xml:space="preserve">Committed Price per HPG-7093 Exhibit A</t>
  </si>
  <si>
    <t xml:space="preserve">Commits to &gt;=80% of requirements for Products; non-compliance lets USME end SIP and charge standard HPG-7093 prices</t>
  </si>
  <si>
    <t xml:space="preserve">None notable</t>
  </si>
  <si>
    <t xml:space="preserve">HealthTrust SIP acknowledgement signed by DHR CFO; facility schedule blank in OCR. Expiry only in filename, likely tied to HPG-7093 term. [Review note: tied to HPG-7093, which was extended to 7/31/2029; confirm SIP/LOP continues under the extension.]</t>
  </si>
  <si>
    <t xml:space="preserve">Community Hospital Corporation</t>
  </si>
  <si>
    <t xml:space="preserve">Community Hospital Corporation (CHC)</t>
  </si>
  <si>
    <t xml:space="preserve">CHC_HPG_MME_SIP_Exp_9_30_2024.pdf</t>
  </si>
  <si>
    <t xml:space="preserve">2022-05-03 (signed; HPG-7093 effective 2021-08-01)</t>
  </si>
  <si>
    <t xml:space="preserve">File name</t>
  </si>
  <si>
    <t xml:space="preserve">80% of requirements for Products (SIP commitment); vendor's sole remedy is termination of SIP and reverting to standard HPG prices</t>
  </si>
  <si>
    <t xml:space="preserve">CHC SIP covering a long roster of rural/community hospitals across many states (GPOID H018265). Filename shows expiration 9/30/2024 but the form states no end date; HPG-7093 since extended to 7/31/2029. [Review note: tied to HPG-7093, which was extended to 7/31/2029; confirm SIP/LOP continues under the extension.]</t>
  </si>
  <si>
    <t xml:space="preserve">Surgery Partners</t>
  </si>
  <si>
    <t xml:space="preserve">Surgery_Partners_HPG_MME_SIP_Exp_7_1_2026.pdf</t>
  </si>
  <si>
    <t xml:space="preserve">2023-11-16 (signed; HPG-7093 effective 2021-08-01)</t>
  </si>
  <si>
    <t xml:space="preserve">Not stated (filename 2026-07-01)</t>
  </si>
  <si>
    <t xml:space="preserve">SIP covering a large Surgery Partners ASC/surgical hospital roster. Filename says expires 7/1/2026 but form has no end date; HPG-7093 runs to 7/31/2029. [Review note: tied to HPG-7093, which was extended to 7/31/2029; confirm SIP/LOP continues under the extension.]</t>
  </si>
  <si>
    <t xml:space="preserve">University of South Alabama, by and through its division USA Health</t>
  </si>
  <si>
    <t xml:space="preserve">University of South Alabama - USA Health</t>
  </si>
  <si>
    <t xml:space="preserve">USA_Health_SIP_MME_Exp_7_1_2026.pdf</t>
  </si>
  <si>
    <t xml:space="preserve">2021-08-01 (HPG agreement date; SIP signature date illegible)</t>
  </si>
  <si>
    <t xml:space="preserve">Not stated (filename indicates 2026-07-01)</t>
  </si>
  <si>
    <t xml:space="preserve">Group may exit SIP on 30 days notice; HealthTrust 30 days; Vendor only for non-compliance (60-day cure)</t>
  </si>
  <si>
    <t xml:space="preserve">Group commits &gt;=80% of Product requirements to USME</t>
  </si>
  <si>
    <t xml:space="preserve">Vendor's sole remedy for missed commitment is SIP termination and reversion to agreement pricing</t>
  </si>
  <si>
    <t xml:space="preserve">SIP acknowledgement covering Mitchell Cancer Center, USA Medical Center, Family Health Center, Children's &amp; Women's Hospital (Mobile, AL). Expiry from filename only; 7/1/2026 is past. [Review note: tied to HPG-7093, which was extended to 7/31/2029; confirm SIP/LOP continues under the extension.]</t>
  </si>
  <si>
    <t xml:space="preserve">LCMC Health</t>
  </si>
  <si>
    <t xml:space="preserve">Louisiana Children's Medical Center</t>
  </si>
  <si>
    <t xml:space="preserve">Louisiana Children's Medical Center (LCMC)</t>
  </si>
  <si>
    <t xml:space="preserve">LCMC_MME_HPG_SIP_Exp_7_1_2026.pdf</t>
  </si>
  <si>
    <t xml:space="preserve">2021-08-01 (HPG agreement); SIP signed 2022-05-20</t>
  </si>
  <si>
    <t xml:space="preserve">Group may terminate on 30 days notice; HealthTrust may terminate on 30 days notice; vendor may terminate after 60-day cure if commitment missed</t>
  </si>
  <si>
    <t xml:space="preserve">Group commits to buy at least 80% of requirements for Products from USME; vendor sole remedy is SIP termination</t>
  </si>
  <si>
    <t xml:space="preserve">Facility roster blank ('See Attached Roster'; Excel not included). Expiration only in filename; status depends on HPG-7093 term. [Review note: tied to HPG-7093, which was extended to 7/31/2029; confirm SIP/LOP continues under the extension.]</t>
  </si>
  <si>
    <t xml:space="preserve">LifePoint Health</t>
  </si>
  <si>
    <t xml:space="preserve">LifePoint Health (group designee; ~70+ hospitals listed)</t>
  </si>
  <si>
    <t xml:space="preserve">LifePoint</t>
  </si>
  <si>
    <t xml:space="preserve">LifePoint_MME_HPG_SIP_Exp_7_1_2026.pdf</t>
  </si>
  <si>
    <t xml:space="preserve">2024-12 (signed ~12/2024; HPG-7093 effective 2021-08-01)</t>
  </si>
  <si>
    <t xml:space="preserve">2026-07-01 (per filename; not stated in text)</t>
  </si>
  <si>
    <t xml:space="preserve">Group any time on 30 days written notice; HealthTrust may also terminate on 30 days</t>
  </si>
  <si>
    <t xml:space="preserve">SIP Committed Price per Exhibit A</t>
  </si>
  <si>
    <t xml:space="preserve">Not stated in SIP</t>
  </si>
  <si>
    <t xml:space="preserve">80% of Group requirements for Products; USME sole remedy is SIP termination after 60-day cure</t>
  </si>
  <si>
    <t xml:space="preserve">System-wide HPG SIP for LifePoint facilities. Expiration only from filename (7/1/2026), now passed; confirm extension of HPG-7093/SIP. [Review note: tied to HPG-7093, which was extended to 7/31/2029; confirm SIP/LOP continues under the extension.]</t>
  </si>
  <si>
    <t xml:space="preserve">Lovelace Health</t>
  </si>
  <si>
    <t xml:space="preserve">Lovelace Health System</t>
  </si>
  <si>
    <t xml:space="preserve">Lovelace SIP exp 7_1_2026.pdf</t>
  </si>
  <si>
    <t xml:space="preserve">2020-01-01 (HPG-7093 dated 2018-05-01)</t>
  </si>
  <si>
    <t xml:space="preserve">SIP covering Lovelace hospitals, rehab and clinic sites in NM. Signed under prior HPG-7093 (2018); expiration only from filename (7/1/2026), now passed. [Review note: tied to HPG-7093, which was extended to 7/31/2029; confirm SIP/LOP continues under the extension.]</t>
  </si>
  <si>
    <t xml:space="preserve">Memorial Hospital at Gulfport</t>
  </si>
  <si>
    <t xml:space="preserve">Memorial Hospital of Gulfport</t>
  </si>
  <si>
    <t xml:space="preserve">Memorial Hosp Gulfport_MME_HGP_SIP_Exp_7_1_2026_LR.pdf</t>
  </si>
  <si>
    <t xml:space="preserve">Not legible (signed ~2022; HPG-7093 effective 2021-08-01)</t>
  </si>
  <si>
    <t xml:space="preserve">Group may terminate SIP participation anytime on 30 days written notice; HealthTrust may terminate on 30 days notice; Vendor only for missed commitment (60-day cure)</t>
  </si>
  <si>
    <t xml:space="preserve">Group commits to &gt;=80% of requirements for Products from USME; failure lets Vendor end SIP after 60-day cure and revert to standard HPG-7093 pricing</t>
  </si>
  <si>
    <t xml:space="preserve">HealthTrust SIP for Memorial Gulfport group (facility schedule OCR is garbled/mirrored). Expiry only in filename, likely tied to HPG-7093 term. [Review note: tied to HPG-7093, which was extended to 7/31/2029; confirm SIP/LOP continues under the extension.]</t>
  </si>
  <si>
    <t xml:space="preserve">Low</t>
  </si>
  <si>
    <t xml:space="preserve">Mercy</t>
  </si>
  <si>
    <t xml:space="preserve">Mercy Health (Chesterfield, MO) and listed Mercy hospitals in MO, AR, KS, OK</t>
  </si>
  <si>
    <t xml:space="preserve">Mercy Health MO SIP HPG 7093_2021_Exp 7_1_2026.pdf</t>
  </si>
  <si>
    <t xml:space="preserve">2021-08-01 (signed 2021-10-28)</t>
  </si>
  <si>
    <t xml:space="preserve">Not stated (tied to HPG-7093; filename says 2026-07-01)</t>
  </si>
  <si>
    <t xml:space="preserve">Not stated (term of HPG-7093)</t>
  </si>
  <si>
    <t xml:space="preserve">Mercy may exit SIP on 30 days notice; HealthTrust may end participation on 30 days notice; USME remedy for non-compliance is SIP termination after 60-day cure</t>
  </si>
  <si>
    <t xml:space="preserve">Committed (SIP) prices per HPG-7093 Exhibit A</t>
  </si>
  <si>
    <t xml:space="preserve">Group commits to 80%+ of requirements for HPG-7093 products; on failure USME may revert to standard HPG pricing</t>
  </si>
  <si>
    <t xml:space="preserve">Mercy system-wide SIP under HPG-7093 covering ~35 hospitals. HPG-7093 was later extended to 7/31/2029, so SIP likely continues unless Mercy withdrew; filename expiry reflects the prior HPG term. [Review note: tied to HPG-7093, which was extended to 7/31/2029; confirm SIP/LOP continues under the extension.]</t>
  </si>
  <si>
    <t xml:space="preserve">Orlando Health</t>
  </si>
  <si>
    <t xml:space="preserve">Orlando Health SIP_MME Exp_9_30_26_LR.pdf</t>
  </si>
  <si>
    <t xml:space="preserve">Signed 2023-04-28 (HPG-7093 effective 2021-08-01)</t>
  </si>
  <si>
    <t xml:space="preserve">Not stated (filename: 2026-09-30)</t>
  </si>
  <si>
    <t xml:space="preserve">Covers ~21 Orlando Health facilities incl. ORMC, Arnold Palmer, Winnie Palmer, Dr. P. Phillips, South Seminole, Health Central, South Lake, Horizon West, St. Petersburg (Bayfront). Filename expiry 9/30/2026 just passed. [Review note: tied to HPG-7093, which was extended to 7/31/2029; confirm SIP/LOP continues under the extension.]</t>
  </si>
  <si>
    <t xml:space="preserve">QHR Health</t>
  </si>
  <si>
    <t xml:space="preserve">QHR Health / PLUS</t>
  </si>
  <si>
    <t xml:space="preserve">QHR</t>
  </si>
  <si>
    <t xml:space="preserve">QHR_MME_HPG_SIP_Exp_7_1_2026_LR.pdf</t>
  </si>
  <si>
    <t xml:space="preserve">2021-08-01 (signed Feb 2022)</t>
  </si>
  <si>
    <t xml:space="preserve">Not stated in text (filename indicates 2026-07-01)</t>
  </si>
  <si>
    <t xml:space="preserve">Group may terminate on 30 days written notice; HealthTrust on 30 days; Vendor only for unmet commitment after 60-day cure</t>
  </si>
  <si>
    <t xml:space="preserve">Group commits to 80% of requirements for Products; Vendor's sole remedy for non-compliance is SIP termination and reverting to HPG prices</t>
  </si>
  <si>
    <t xml:space="preserve">Per HPG-7093</t>
  </si>
  <si>
    <t xml:space="preserve">HPG Standardization Incentive Program acknowledgement covering ~21 QHR-managed hospitals in multiple states. Expiry tied to HPG-7093; filename indicates 7/1/2026. [Review note: tied to HPG-7093, which was extended to 7/31/2029; confirm SIP/LOP continues under the extension.]</t>
  </si>
  <si>
    <t xml:space="preserve">ScionHealth</t>
  </si>
  <si>
    <t xml:space="preserve">ScionHealth - Cornerstone &amp; CHG Solara</t>
  </si>
  <si>
    <t xml:space="preserve">ScionHealth- C-stone  SH signed Exp_7_1_2026.pdf</t>
  </si>
  <si>
    <t xml:space="preserve">2023-06-27 (signed); HPG-7093 effective 2021-08-01</t>
  </si>
  <si>
    <t xml:space="preserve">Covers Cornerstone hospitals (LA, AZ, TX, AR, WV, OK), Solara Hospitals (Harlingen, Brownsville, McAllen) and CHG senior living sites. Expiry only in filename, likely tied to HPG-7093 term. [Review note: tied to HPG-7093, which was extended to 7/31/2029; confirm SIP/LOP continues under the extension.]</t>
  </si>
  <si>
    <t xml:space="preserve">Scripps Health</t>
  </si>
  <si>
    <t xml:space="preserve">Scripps Health MME_SIP_7_1_2026_LR.pdf</t>
  </si>
  <si>
    <t xml:space="preserve">2023-01-31</t>
  </si>
  <si>
    <t xml:space="preserve">Group commits to 80% of requirements for Products; Vendor's sole remedy is SIP termination and reverting to HPG prices</t>
  </si>
  <si>
    <t xml:space="preserve">HPG SIP acknowledgement for Scripps Health; facility list and Exhibit A blank in OCR. Expiry tied to HPG-7093; filename indicates 7/1/2026. [Review note: tied to HPG-7093, which was extended to 7/31/2029; confirm SIP/LOP continues under the extension.]</t>
  </si>
  <si>
    <t xml:space="preserve">Steward Health Care</t>
  </si>
  <si>
    <t xml:space="preserve">Steward Health Care System LLC</t>
  </si>
  <si>
    <t xml:space="preserve">Steward Health</t>
  </si>
  <si>
    <t xml:space="preserve">Steward Healthcare_HPG_SIP_Exp 7_1_2026.pdf</t>
  </si>
  <si>
    <t xml:space="preserve">2021-08-01 (signed 2021-12-13)</t>
  </si>
  <si>
    <t xml:space="preserve">SIP daily/monthly Committed Prices per Exhibit A price list</t>
  </si>
  <si>
    <t xml:space="preserve">HPG SIP covering ~35+ Steward hospitals (MA, FL, TX, LA, AZ, UT, OH, PA). Steward's 2024 bankruptcy and hospital sales likely make this largely moot. [Review note: tied to HPG-7093, which was extended to 7/31/2029; confirm SIP/LOP continues under the extension.]</t>
  </si>
  <si>
    <t xml:space="preserve">Wellspan_MME_HPG_SIP_exp_7_1_2026_LR.pdf</t>
  </si>
  <si>
    <t xml:space="preserve">2021-08-01 (HPG-7093 date); signed 2022-04-27/05-12</t>
  </si>
  <si>
    <t xml:space="preserve">Not stated in text (filename 2026-07-01)</t>
  </si>
  <si>
    <t xml:space="preserve">Group may exit SIP on 30 days written notice; HealthTrust 30 days; USME only on uncured non-compliance (60-day cure), then reverts to standard pricing</t>
  </si>
  <si>
    <t xml:space="preserve">None (committed pricing instead of rebate)</t>
  </si>
  <si>
    <t xml:space="preserve">80% of requirements for Products across 7 WellSpan hospitals</t>
  </si>
  <si>
    <t xml:space="preserve">Non-compliance remedy limited to SIP termination and reversion to standard HPG prices</t>
  </si>
  <si>
    <t xml:space="preserve">HPG SIP for MME covering Ephrata, Gettysburg, Good Samaritan, York, Surgery &amp; Rehab, Chambersburg, Waynesboro. Filename exp 7/1/2026 has passed; HPG-7093 extension and a direct WellSpan agreement (exp 7/31/2030) are on file, so current applicability is unclear. [Review note: tied to HPG-7093, which was extended to 7/31/2029; confirm SIP/LOP continues under the extension.]</t>
  </si>
  <si>
    <t xml:space="preserve">Children's Minnesota</t>
  </si>
  <si>
    <t xml:space="preserve">Children's Health Care d/b/a Children's Minnesota</t>
  </si>
  <si>
    <t xml:space="preserve">Children's Minnesota_Exp_04_2025_LR.pdf</t>
  </si>
  <si>
    <t xml:space="preserve">2022-04-15</t>
  </si>
  <si>
    <t xml:space="preserve">2025-04-14 (initial term); up to 2027-04-14 if both renewals ran</t>
  </si>
  <si>
    <t xml:space="preserve">Customer may terminate without cause after first year on 90 days notice; either party for cause with 30-day cure</t>
  </si>
  <si>
    <t xml:space="preserve">Daily/monthly rates per Exhibit A Rental Pricing Schedule (MME, neonatal, specialty beds/surfaces)</t>
  </si>
  <si>
    <t xml:space="preserve">Pricing firm for 36 months; no escalator stated</t>
  </si>
  <si>
    <t xml:space="preserve">Right of first option for additional rentals of currently rented equipment types; customer free to rent elsewhere for other items or if FMI cannot supply</t>
  </si>
  <si>
    <t xml:space="preserve">Net 30 from receipt; 1.5%/month on invoices 60+ days past due; no offset; disputes within 90 days; FMI may suspend for non-payment</t>
  </si>
  <si>
    <t xml:space="preserve">Customer responsible for loss/damage, billed replacement cost; FMI liability limited to repair/replacement except negligence; mutual indemnity; Minnesota law/venue</t>
  </si>
  <si>
    <t xml:space="preserve">Legacy Freedom Medical agreement; 2-hour plus drive time delivery, 24-hour pickup, quarterly/annual business reviews. Initial term ended 4/2025 (matches filename); evergreen renewal language may have carried it to 4/14/2026 or 4/14/2027 absent non-renewal notice.</t>
  </si>
  <si>
    <t xml:space="preserve">Cook Children SOW Bed Repair_Exp_11_30_25_Auto_2027_LR.pdf</t>
  </si>
  <si>
    <t xml:space="preserve">Biomed/Repair Service, Asset Mgmt/On-site</t>
  </si>
  <si>
    <t xml:space="preserve">2023-12-01 (SOW); MSA signed 2023-10-19</t>
  </si>
  <si>
    <t xml:space="preserve">2025-11-30 initial; renewal options to 2027-11-30</t>
  </si>
  <si>
    <t xml:space="preserve">Customer may extend for two 1-yr terms with 60 days prior notice</t>
  </si>
  <si>
    <t xml:space="preserve">Per MSA Article 7 (not stated in SOW)</t>
  </si>
  <si>
    <t xml:space="preserve">PM $90.00 each; Corrective Maintenance $105/hour using hospital-provided parts</t>
  </si>
  <si>
    <t xml:space="preserve">USME not responsible for damage from customer neglect or failure to make equipment available for PM; staff competency and HR compliance obligations</t>
  </si>
  <si>
    <t xml:space="preserve">On-site PM/CM for customer-owned Stryker ProCuity beds (Annex 1) at Fort Worth main campus, staffed M-F 8-5. Filename 'Auto_2027' implies renewal options exercised; renewal is customer-option, not automatic.</t>
  </si>
  <si>
    <t xml:space="preserve">Encompass Addendum BTS Exp_4_11_2026_auto_renewal.pdf</t>
  </si>
  <si>
    <t xml:space="preserve">US Med-Equip, LLC (signature block: US Med-Equip, Inc.)</t>
  </si>
  <si>
    <t xml:space="preserve">2023-04-12</t>
  </si>
  <si>
    <t xml:space="preserve">Not stated (filename: 2026-04-11, auto renewal)</t>
  </si>
  <si>
    <t xml:space="preserve">Not stated in addendum (filename indicates auto renewal)</t>
  </si>
  <si>
    <t xml:space="preserve">Adds Attachment A-1 Price File (bariatric beds, surfaces, chairs, Freedom-branded products) to base agreement dated 2020-11-12</t>
  </si>
  <si>
    <t xml:space="preserve">Addendum only adds a price file to the Nov 2020 base Equipment Rental Agreement (contract EH 09152020JD). Term/renewal not in text; if auto-renewal per filename, likely continuing past 4/11/2026.</t>
  </si>
  <si>
    <t xml:space="preserve">Johns Hopkins Health System</t>
  </si>
  <si>
    <t xml:space="preserve">The Johns Hopkins Health System Corporation</t>
  </si>
  <si>
    <t xml:space="preserve">Johns Hopkins</t>
  </si>
  <si>
    <t xml:space="preserve">Johns Hopkins_BTS_Amendment_Exp_09_30_2025_renew 2027.pdf</t>
  </si>
  <si>
    <t xml:space="preserve">2023-09-28 (last signature); assignment retroactive to 2022-08-01</t>
  </si>
  <si>
    <t xml:space="preserve">2025-09-30 (filename indicates renewal to 2027)</t>
  </si>
  <si>
    <t xml:space="preserve">Base agreement dated 2020-10-01; extended 2023-09-30 to 2025-09-30</t>
  </si>
  <si>
    <t xml:space="preserve">Optional additional 2-year term by mutual written agreement</t>
  </si>
  <si>
    <t xml:space="preserve">Not stated (per base agreement)</t>
  </si>
  <si>
    <t xml:space="preserve">Not stated (base agreement pricing)</t>
  </si>
  <si>
    <t xml:space="preserve">FMI liable for obligations before 2022-07-31, USME after 2022-08-01; vendor credentialing (GHX) and affirmative action clauses</t>
  </si>
  <si>
    <t xml:space="preserve">Second amendment assigns specialty bed rental agreement from Freedom Medical to USME and extends to 2025-09-30. Performance metrics to be agreed within 90 days. Filename says renewed to 2027 but no extension document in this text.</t>
  </si>
  <si>
    <t xml:space="preserve">LifePoint Corporate Services General Partnership</t>
  </si>
  <si>
    <t xml:space="preserve">LifePoint Rebate Exp 7_1_2026 MME.pdf</t>
  </si>
  <si>
    <t xml:space="preserve">HPG-7093 (HealthTrust SIP executed 2021-12-07)</t>
  </si>
  <si>
    <t xml:space="preserve">2024-12-06</t>
  </si>
  <si>
    <t xml:space="preserve">Co-terminous with HealthTrust-7093 SIP (date not stated; filename says 2026-07-01)</t>
  </si>
  <si>
    <t xml:space="preserve">Not stated (tied to HPG-7093 SIP)</t>
  </si>
  <si>
    <t xml:space="preserve">None stated; auto-terminates when HPG-7093 SIP expires</t>
  </si>
  <si>
    <t xml:space="preserve">Either party without cause on 30 days written notice, for one, some or all products</t>
  </si>
  <si>
    <t xml:space="preserve">Daily/monthly MME rates per exhibit price list (HPG SIP pricing)</t>
  </si>
  <si>
    <t xml:space="preserve">3% quarterly rebate on all product spend, paid by ACH within 60 days after each quarter; no rebate to facilities with undisputed past-due invoices</t>
  </si>
  <si>
    <t xml:space="preserve">Customer commits to 90%+ of annual MME rental spend in USME service areas; newly acquired facilities must consider conversion; quarterly competitive rent reporting</t>
  </si>
  <si>
    <t xml:space="preserve">Net 30; DSO not to exceed 45 days</t>
  </si>
  <si>
    <t xml:space="preserve">Texas law, Harris County venue; supersedes prior rebate agreements</t>
  </si>
  <si>
    <t xml:space="preserve">Loyalty rebate layered on HPG-7093 SIP for LifePoint facilities (Exhibit B); quarterly business reviews required. Expiry depends on HPG-7093 SIP; filename date 7/1/2026 has passed, so confirm whether the SIP and rebate were extended.</t>
  </si>
  <si>
    <t xml:space="preserve">LifePoint_ rental agreement_MME_Exp 7_1_2026.pdf</t>
  </si>
  <si>
    <t xml:space="preserve">HPG-7093 (SIP executed 2021-12-07)</t>
  </si>
  <si>
    <t xml:space="preserve">Co-terminous with HealthTrust SIP / HPG-7093 (filename: 2026-07-01)</t>
  </si>
  <si>
    <t xml:space="preserve">Co-terminous with HPG-7093 SIP</t>
  </si>
  <si>
    <t xml:space="preserve">None stated; terminates automatically with SIP</t>
  </si>
  <si>
    <t xml:space="preserve">Either party without cause, 30 days written notice (by product or all)</t>
  </si>
  <si>
    <t xml:space="preserve">Daily/monthly MME rates per product schedule (e.g., PB 840 vent $24.16/day, $676.60/mo)</t>
  </si>
  <si>
    <t xml:space="preserve">3% quarterly rebate on all spend, paid within 60 days of quarter end via ACH; supersedes prior rebate agreements</t>
  </si>
  <si>
    <t xml:space="preserve">Customer commits &gt;=90% of annual MME rental in USME service areas; new-acquisition facilities must consider conversion within 1 yr or lose rebate</t>
  </si>
  <si>
    <t xml:space="preserve">Net 30; DSO not to exceed 45 days; no rebate to facilities with undisputed past-due invoices</t>
  </si>
  <si>
    <t xml:space="preserve">Quarterly business reviews and quarterly competitive rental reporting required; Texas law, Harris County venue</t>
  </si>
  <si>
    <t xml:space="preserve">Rebate overlay on LifePoint's HPG-7093 SIP covering ~60 LifePoint hospitals (Exhibit B). Filename calls it rental agreement but text is a rebate agreement; expiry depends on HPG-7093.</t>
  </si>
  <si>
    <t xml:space="preserve">North Memorial_Assett Mgmt_Exp_6_30_2026_Auto_2028_LR.pdf</t>
  </si>
  <si>
    <t xml:space="preserve">Asset Mgmt/On-site, MME Rental, Biomed/Repair Service</t>
  </si>
  <si>
    <t xml:space="preserve">Captis GPO (90% commitment pricing); Vizient/IMPACT rebates referenced</t>
  </si>
  <si>
    <t xml:space="preserve">2021-07-01 (signed 2021-04-29)</t>
  </si>
  <si>
    <t xml:space="preserve">2026-06-30 initial; up to 2028-06-30 if both renewals exercised</t>
  </si>
  <si>
    <t xml:space="preserve">Customer option: two 1-yr renewals on 60 days written notice</t>
  </si>
  <si>
    <t xml:space="preserve">No termination w/o cause in year 1; thereafter either party 120 days notice; early termination by customer triggers implementation cost recovery (sliding scale, max $75K) and FMI buy-out option</t>
  </si>
  <si>
    <t xml:space="preserve">Monthly mgmt fee per Attachment A (NMH ~$81,972/mo; Maple Grove ~$33,963/mo incl. Baxter IQ pump pool); rentals at lesser of Attachment C or Captis 90% pricing</t>
  </si>
  <si>
    <t xml:space="preserve">Not stated (rentals follow Captis GPO pricing changes)</t>
  </si>
  <si>
    <t xml:space="preserve">Rebates on annual rentals per Attachment D (Captis rebates paid within 120 days of year end); Vizient/IMPACT rebates via Vizient</t>
  </si>
  <si>
    <t xml:space="preserve">Customer to use FMI as primary vendor for &gt;=90% of Attachment C rental needs; no minimum quantities</t>
  </si>
  <si>
    <t xml:space="preserve">Net 45 from invoice; 1.5%/mo on undisputed invoices 60+ days past due; no offset; FMI may suspend after 10 business days notice</t>
  </si>
  <si>
    <t xml:space="preserve">Delivery SLAs (stat &lt;15 min, routine &lt;30 min on-site; 2 hrs off-site); loss shared 50/50 absent evidence, FMI capped $10K/qtr; mutual indemnity; 12-mo non-solicit; FMI bears EPIC integration cost</t>
  </si>
  <si>
    <t xml:space="preserve">On-site equipment management at North Memorial and Maple Grove hospitals incl. Baxter infusion pump pool and staffing. Filename 'Auto_2028' conflicts with text: renewals are customer-elected options, not automatic; confirm renewal notice was given.</t>
  </si>
  <si>
    <t xml:space="preserve">Partners Coop MME - CE71/RFP</t>
  </si>
  <si>
    <t xml:space="preserve">Partners CE71 US MED-EQUIP (2021) RENTAL Exhibits.pdf</t>
  </si>
  <si>
    <t xml:space="preserve">Partners CE71</t>
  </si>
  <si>
    <t xml:space="preserve">Not stated (RFP submitted 2021-11-02)</t>
  </si>
  <si>
    <t xml:space="preserve">Dual source: Access at Vizient Tier 2 pricing (no spend requirement); Primary Provider at Vizient Tier 3 pricing (Exhibit B price matrix)</t>
  </si>
  <si>
    <t xml:space="preserve">Access tier 0.5% rebate quarterly; Primary Provider 1% quarterly; 1% bonus on total annual rental if aggregate spend &gt; $7M</t>
  </si>
  <si>
    <t xml:space="preserve">Primary Provider: 90%+ annual rental spend; members in service area convert within 60 days; non-compliance after 60-day notice moves member to Tier 2</t>
  </si>
  <si>
    <t xml:space="preserve">Net 30 (Primary Provider requirement)</t>
  </si>
  <si>
    <t xml:space="preserve">Service commitments: 2-hr + drive time delivery, 24-hr pickup, 100% high-risk PM compliance, 90% non-high-risk; 25% rental equity and 50% lost-equipment buyout credit</t>
  </si>
  <si>
    <t xml:space="preserve">USME RFP response and exhibits for Partners MME rental contract CE71; not an executed agreement. Bi-annual business reviews and utilization reports required for Primary Provider tier. Rebate '1/2%' partly garbled in text.</t>
  </si>
  <si>
    <t xml:space="preserve">Partners CE71 US MED-EQUIP (2021) RENTAL Terms-Conditions Effective 01-01-22.pdf</t>
  </si>
  <si>
    <t xml:space="preserve">Partners Cooperative; Vizient CE7073</t>
  </si>
  <si>
    <t xml:space="preserve">2024-12-31 initial; 2026-12-31 if both extension options exercised</t>
  </si>
  <si>
    <t xml:space="preserve">Two 1-yr extensions at PARTNERS' option</t>
  </si>
  <si>
    <t xml:space="preserve">Vizient Tier 2 for Partners Members; Vizient Tier 3 for Members choosing USME as Primary (90% LOC); monthly rate auto-applied at 30/31 days</t>
  </si>
  <si>
    <t xml:space="preserve">No increase for 3 years from 2022-01-01</t>
  </si>
  <si>
    <t xml:space="preserve">Quarterly rebate to PARTNERS 0.5% of sales (1% for Primary/90% LOC members); +1% annual bonus if aggregate spend &gt;$7M; Vizient marketing/ISP fees also payable</t>
  </si>
  <si>
    <t xml:space="preserve">No guaranteed volume; supersedes prior agreements; open to all current/future members</t>
  </si>
  <si>
    <t xml:space="preserve">Net 30 to Members</t>
  </si>
  <si>
    <t xml:space="preserve">2-hour delivery guarantee plus drive time; availability guarantee or substitute (else member may rent elsewhere); no charge for add-ons/upgrades; free PM; GL $1M/$3M; assignment needs consent</t>
  </si>
  <si>
    <t xml:space="preserve">RFP terms signed 11/16/2021. Filename references CE71; text cites Vizient CE7073. Status depends on whether extension options were exercised.</t>
  </si>
  <si>
    <t xml:space="preserve">Partners Coop MME - CE72/RFP</t>
  </si>
  <si>
    <t xml:space="preserve">Partners CE72 US MED-EQUIP (2021) RENTAL 90% Terms-Conditions Effective 01-01-22.pdf</t>
  </si>
  <si>
    <t xml:space="preserve">Partners CE72 (Vizient CE7073)</t>
  </si>
  <si>
    <t xml:space="preserve">2024-12-31 initial; 2026-12-31 if both 1-yr options exercised</t>
  </si>
  <si>
    <t xml:space="preserve">Two 1-yr extensions at Partners' option</t>
  </si>
  <si>
    <t xml:space="preserve">Either party without cause on 30 days written notice</t>
  </si>
  <si>
    <t xml:space="preserve">Proposal pricing on full Rental Equipment category; Vizient Tier 2 for members, Tier 3 for 90% primary members; auto-convert to monthly rate at 30/31 days</t>
  </si>
  <si>
    <t xml:space="preserve">No price increase for 3 years from 2022-01-01</t>
  </si>
  <si>
    <t xml:space="preserve">0.5% quarterly rebate to Partners on member sales (1% for 90% primary members); +1% annual bonus if aggregate spend &gt;$7M; Vizient fees also payable</t>
  </si>
  <si>
    <t xml:space="preserve">No guaranteed volumes; 90% LOC for primary-provider tier; supersedes prior agreements</t>
  </si>
  <si>
    <t xml:space="preserve">2-hr delivery + drive time guarantee; availability guarantee w/ substitutes; free PM; mutual indemnity; GL $1M/$3M; quarterly sales reporting</t>
  </si>
  <si>
    <t xml:space="preserve">Partners RFP terms accepted 11/16/2021. Status depends on option exercise; St. Elizabeth SOW references a newer Partners MSA dated 9/1/2024, which may supersede.</t>
  </si>
  <si>
    <t xml:space="preserve">The Resource Group (Ascension)</t>
  </si>
  <si>
    <t xml:space="preserve">Ascension Health Resource and Supply Management Group, LLC (The Resource Group); TriMedx Holdings for Medical University Hospital Authority</t>
  </si>
  <si>
    <t xml:space="preserve">USMED-TriMed_MME_resource_Group.pdf</t>
  </si>
  <si>
    <t xml:space="preserve">2023-07-15 (master agreement 2023-02-15)</t>
  </si>
  <si>
    <t xml:space="preserve">Products per Appendix A-2</t>
  </si>
  <si>
    <t xml:space="preserve">Amendment 001 gives TriMedx access to purchase Appendix A-2 products on behalf of Medical University Hospital Authority (MUSC) under the Resource Group master agreement.</t>
  </si>
  <si>
    <t xml:space="preserve">University Health (Bexar County)</t>
  </si>
  <si>
    <t xml:space="preserve">University Health (San Antonio, TX)</t>
  </si>
  <si>
    <t xml:space="preserve">UniversityHealth</t>
  </si>
  <si>
    <t xml:space="preserve">University Health_SA_MME_Exp_09_30_2026.pdf</t>
  </si>
  <si>
    <t xml:space="preserve">Premier AD-NS-1283 (to 2025-11-30) / AD-NS-2139 (2025-12-01 to 2028-11-30)</t>
  </si>
  <si>
    <t xml:space="preserve">2025-10-01 (Mod #2 signed 2025-12-23)</t>
  </si>
  <si>
    <t xml:space="preserve">2026-09-30</t>
  </si>
  <si>
    <t xml:space="preserve">Base contract 10/1/2023-9/30/2025 (orig. term not stated)</t>
  </si>
  <si>
    <t xml:space="preserve">Two 1-yr renewal options remaining</t>
  </si>
  <si>
    <t xml:space="preserve">Per Premier GPO contracts AD-NS-1283 / AD-NS-2139</t>
  </si>
  <si>
    <t xml:space="preserve">Firm and fixed through term including renewal years</t>
  </si>
  <si>
    <t xml:space="preserve">No guaranteed minimum; estimate-based; total contract value $341,926.99</t>
  </si>
  <si>
    <t xml:space="preserve">Modification #2 to Contract 22309227-IG (peak use rental) exercising 'third' 1-yr renewal; blanket POs for logistics, ACU, NICU, OR, respiratory. Term ended 9/30/2026; confirm whether next renewal executed.</t>
  </si>
  <si>
    <t xml:space="preserve">Adventist HealthCare</t>
  </si>
  <si>
    <t xml:space="preserve">Adventist MD/Original agreement as reference</t>
  </si>
  <si>
    <t xml:space="preserve">Adventist MD BTS Amendment Exp 10_31_2025.pdf</t>
  </si>
  <si>
    <t xml:space="preserve">2022-01-10 (amendment); original agreement eff. 2020-11-01</t>
  </si>
  <si>
    <t xml:space="preserve">Extension of 2 years (2023-11-01 to 2025-10-31)</t>
  </si>
  <si>
    <t xml:space="preserve">None stated in amendment</t>
  </si>
  <si>
    <t xml:space="preserve">Per original agreement (unchanged)</t>
  </si>
  <si>
    <t xml:space="preserve">One-page FMI amendment extending the original Nov 2020 Equipment Rental Agreement by 2 years; all other terms unchanged. Filename says BTS; text does not specify product line. Folder notes original agreement kept as reference.</t>
  </si>
  <si>
    <t xml:space="preserve">Akron Children's Hospital</t>
  </si>
  <si>
    <t xml:space="preserve">Expired/Akron Childrens</t>
  </si>
  <si>
    <t xml:space="preserve">Akron Childrens_MME_Exp_10_31_2022_Auto_2024.pdf</t>
  </si>
  <si>
    <t xml:space="preserve">2022-10-31 initial; renewals through 2024-10-31</t>
  </si>
  <si>
    <t xml:space="preserve">Two consecutive 12-month renewals unless 60 days notice of non-renewal</t>
  </si>
  <si>
    <t xml:space="preserve">For cause only (30-day cure); no termination for convenience stated</t>
  </si>
  <si>
    <t xml:space="preserve">Daily/monthly rates per Exhibit A Rental Pricing Schedule</t>
  </si>
  <si>
    <t xml:space="preserve">Pricing firm for 36 months</t>
  </si>
  <si>
    <t xml:space="preserve">Primary provider: 90% of all rentals; early cancellation or non-compliance lets FMI back-bill difference to GPO access-level pricing to Effective Date</t>
  </si>
  <si>
    <t xml:space="preserve">Net 30; 1.5%/month on invoices 60+ days past due; no offset; 90-day invoice dispute window</t>
  </si>
  <si>
    <t xml:space="preserve">Customer bears loss/damage from receipt to return, billed at replacement cost; FMI liability limited to repair/replace or refund; mutual indemnity</t>
  </si>
  <si>
    <t xml:space="preserve">Legacy FMI MME rental agreement; max term with renewals ended 10/31/2024, consistent with Expired folder.</t>
  </si>
  <si>
    <t xml:space="preserve">AtlantiCare/Expired - Reference Doc</t>
  </si>
  <si>
    <t xml:space="preserve">AtlantiCare_MME_BTS_Exp_9_30_2025_LR.pdf</t>
  </si>
  <si>
    <t xml:space="preserve">Effective date illegible (likely 2022-10-01, consistent with filename exp 9/30/2025)</t>
  </si>
  <si>
    <t xml:space="preserve">2025-09-30 (per filename; 36 months from Effective Date)</t>
  </si>
  <si>
    <t xml:space="preserve">No termination for convenience; for cause with 30-day cure; AtlantiCare may terminate on uncured material breach; immediate on exclusion</t>
  </si>
  <si>
    <t xml:space="preserve">Fixed daily/monthly rates per Exhibit A Rental Pricing Schedule (incl. specialty beds/surfaces, ventilators)</t>
  </si>
  <si>
    <t xml:space="preserve">Customer to use USME as primary medical equipment rental provider</t>
  </si>
  <si>
    <t xml:space="preserve">Net 60; 1.5%/month on invoices 60+ days past due; no offset; disputes within 90 days</t>
  </si>
  <si>
    <t xml:space="preserve">Customer liable for loss/damage (billed balance-sheet value); USME excludes consequential damages; mutual negligence indemnity; insurance GL $1M/$2M, products $5M</t>
  </si>
  <si>
    <t xml:space="preserve">Direct MME+BTS rental with addendum adding AtlantiCare insurance/indemnity terms. Folder marks Expired - Reference Doc.</t>
  </si>
  <si>
    <t xml:space="preserve">Expired/Baycare</t>
  </si>
  <si>
    <t xml:space="preserve">Baycare_MME_Exp_2_28_2025.pdf</t>
  </si>
  <si>
    <t xml:space="preserve">BayCare PPA BPP00454A1</t>
  </si>
  <si>
    <t xml:space="preserve">2022-03-01</t>
  </si>
  <si>
    <t xml:space="preserve">2025-02-28</t>
  </si>
  <si>
    <t xml:space="preserve">Either party, 60 days written notice</t>
  </si>
  <si>
    <t xml:space="preserve">Exhibit A product pricing; Exhibit C discounts/rebates/incentives</t>
  </si>
  <si>
    <t xml:space="preserve">No increase for duration of PPA</t>
  </si>
  <si>
    <t xml:space="preserve">3% admin fee to BPP on net purchases; rebates/incentives per Exhibit C (% not legible)</t>
  </si>
  <si>
    <t xml:space="preserve">Primary vendor of choice at 90% utilization</t>
  </si>
  <si>
    <t xml:space="preserve">1% 15, Net 30 (ACH); FOB destination, vendor pays freight</t>
  </si>
  <si>
    <t xml:space="preserve">98% on-time fill rate SLA; alternate vendor may be used after 10 days; vendor bears recall costs</t>
  </si>
  <si>
    <t xml:space="preserve">Product Pricing Agreement supplementing BayCare Master Purchasing Agreement; BISC is designated distributor. Expired per term and folder.</t>
  </si>
  <si>
    <t xml:space="preserve">Children's Health System of Texas</t>
  </si>
  <si>
    <t xml:space="preserve">Children's Health System of Texas (and Affiliates); SOW for OCH</t>
  </si>
  <si>
    <t xml:space="preserve">Expired/Children's Health System of TX</t>
  </si>
  <si>
    <t xml:space="preserve">Children's Health System of Texas_Exp_12_31_2023.pdf</t>
  </si>
  <si>
    <t xml:space="preserve">2021-01-01</t>
  </si>
  <si>
    <t xml:space="preserve">2023-12-31 (initial term; auto-renews 1-yr unless 30 days notice)</t>
  </si>
  <si>
    <t xml:space="preserve">Auto-renews successive 1-yr terms unless either party gives 30 days prior written notice</t>
  </si>
  <si>
    <t xml:space="preserve">Either party, without cause, 30 days prior written notice (whole or any SOW); Children's may terminate immediately for cause (exclusion)</t>
  </si>
  <si>
    <t xml:space="preserve">Fixed daily/monthly rates per Schedule A Rental Pricing Schedule (contract #20417); SOW not-to-exceed $132,000</t>
  </si>
  <si>
    <t xml:space="preserve">Schedule A pricing firm for 36 months</t>
  </si>
  <si>
    <t xml:space="preserve">None stated; rent as needed</t>
  </si>
  <si>
    <t xml:space="preserve">Payment method options: ACH 2%10 Net 30, ACH Net 30, VCC 2%10 Net 15/30</t>
  </si>
  <si>
    <t xml:space="preserve">Customer liable for loss/damage from receipt to return (replacement cost), unreturned accessories billed after 7 days; mutual indemnity; no consequential damages; GL/auto $1M; cyber $10M agg if PHI; assignment needs consent</t>
  </si>
  <si>
    <t xml:space="preserve">Legacy FMI Master Services Agreement (MSA + SOW + Equipment Rental Agreement) for rental equipment at OCH (Our Children's House). Auto-renewal language means it may have continued past 12/31/2023 despite 'Expired' folder.</t>
  </si>
  <si>
    <t xml:space="preserve">CHRISTUS_HPG_MME_SIP_Form_HPG_7093_Exp_7_1_2026.pdf</t>
  </si>
  <si>
    <t xml:space="preserve">US Med-Equip, LLC (body also says US Med-Equip, Inc.)</t>
  </si>
  <si>
    <t xml:space="preserve">2022-03-21 (signed; HPG-7093 effective 2021-08-01)</t>
  </si>
  <si>
    <t xml:space="preserve">Group may terminate SIP on 30 days notice; HealthTrust may terminate on 30 days notice; vendor may terminate only for missed commitment after 60-day cure</t>
  </si>
  <si>
    <t xml:space="preserve">Group commits to &gt;=80% of requirements for Products; vendor sole remedy is SIP termination and reverting to standard HPG prices</t>
  </si>
  <si>
    <t xml:space="preserve">Supersedes prior standardization programs between vendor and Group</t>
  </si>
  <si>
    <t xml:space="preserve">System-wide HPG SIP covering ~30+ CHRISTUS facilities in TX, LA, NM. Expiration only in filename (7/1/2026), which has passed; text silent.</t>
  </si>
  <si>
    <t xml:space="preserve">CommonSpirit (CHI Franciscan)</t>
  </si>
  <si>
    <t xml:space="preserve">CHI Franciscan Rehabilitation Hospital</t>
  </si>
  <si>
    <t xml:space="preserve">Expired/CHI Franciscan Rehab</t>
  </si>
  <si>
    <t xml:space="preserve">CHI Franciscan Rehab BTS_Exp 9_30_2025.pdf</t>
  </si>
  <si>
    <t xml:space="preserve">2022-10-01</t>
  </si>
  <si>
    <t xml:space="preserve">2025-09-30</t>
  </si>
  <si>
    <t xml:space="preserve">3 years (incentive period)</t>
  </si>
  <si>
    <t xml:space="preserve">Facility may terminate participation on 30 days written notice (forfeits rebates)</t>
  </si>
  <si>
    <t xml:space="preserve">HealthTrust HPG-77980 contract pricing; baseline spend $0</t>
  </si>
  <si>
    <t xml:space="preserve">8% rebate on all Covered Product purchases above baseline, paid to HealthTrust within 30 days after incentive period</t>
  </si>
  <si>
    <t xml:space="preserve">Facility commits to increase spend vs. baseline; if commitment missed, vendor may terminate and pay no rebate; rebate still owed on projected spend if vendor fails to supply</t>
  </si>
  <si>
    <t xml:space="preserve">Facility must be current on A/P to receive rebate</t>
  </si>
  <si>
    <t xml:space="preserve">Supply-failure clause obligates 8% rebate on projected spend</t>
  </si>
  <si>
    <t xml:space="preserve">HealthTrust SIP acknowledgement signed 4/18/23 by facility controller. Covered Products box blank in OCR.</t>
  </si>
  <si>
    <t xml:space="preserve">Cooperative Services of South Florida (Cooperative Services of Florida)</t>
  </si>
  <si>
    <t xml:space="preserve">CSF_Rental_Rebate_Agreement_Exp_12_31_25_LR.pdf</t>
  </si>
  <si>
    <t xml:space="preserve">Vizient CE7073 (terms referenced)</t>
  </si>
  <si>
    <t xml:space="preserve">2023-11-01</t>
  </si>
  <si>
    <t xml:space="preserve">2025-12-31</t>
  </si>
  <si>
    <t xml:space="preserve">~2.2 years</t>
  </si>
  <si>
    <t xml:space="preserve">None; auto-terminates at end of Term</t>
  </si>
  <si>
    <t xml:space="preserve">Either party, without cause, 30 days prior written notice (per product or all)</t>
  </si>
  <si>
    <t xml:space="preserve">Exhibit B daily/monthly MME rental rates; rebate on net paid spend</t>
  </si>
  <si>
    <t xml:space="preserve">3% quarterly rebate on all Product spend, paid within 45 days after each quarter</t>
  </si>
  <si>
    <t xml:space="preserve">90% of aggregated annual MME rental spend; new-service-area facilities must convert within 60 days or rebate forfeited; annual baseline required</t>
  </si>
  <si>
    <t xml:space="preserve">30 days DSO on undisputed invoices or quarterly rebate forfeited</t>
  </si>
  <si>
    <t xml:space="preserve">Not stated (Texas law; venue Lee County, FL)</t>
  </si>
  <si>
    <t xml:space="preserve">Supersedes prior CSF rebate agreements; quarterly business reviews on KPIs. Expired 12/31/2025 per text; _LR in filename.</t>
  </si>
  <si>
    <t xml:space="preserve">DispatchHealth Management, LLC</t>
  </si>
  <si>
    <t xml:space="preserve">Dispatch Health/Archive - for reference</t>
  </si>
  <si>
    <t xml:space="preserve">DispatchHealth O2 MME Exp_7_1_2026.pdf</t>
  </si>
  <si>
    <t xml:space="preserve">2025-07-02</t>
  </si>
  <si>
    <t xml:space="preserve">Successive 1-yr renewals by mutual written agreement</t>
  </si>
  <si>
    <t xml:space="preserve">Either party without cause, 60 days written notice</t>
  </si>
  <si>
    <t xml:space="preserve">Monthly rate per Attachment A: Rhythm 5L oxygen concentrator $45.00/month; list pricing for added equipment if delinquent</t>
  </si>
  <si>
    <t xml:space="preserve">Net 30 via ACH/wire; collection costs; may suspend services; billing stops 5 business days after pickup request</t>
  </si>
  <si>
    <t xml:space="preserve">Customer liable for loss/damage and insures at replacement cost; liability cap = 12 months fees (data breach cap greater of 1.5x annual fees or $5M); 48h emergency repair; CGL $1M/$3M; customer may assign on sale</t>
  </si>
  <si>
    <t xml:space="preserve">Oxygen concentrator rental for home-based care; Colorado law. 1-yr term expired 7/1/2026 absent written renewal; folder labels it archive/reference.</t>
  </si>
  <si>
    <t xml:space="preserve">Ensign Group</t>
  </si>
  <si>
    <t xml:space="preserve">Desert Cove Healthcare, Inc. dba Shea Post Acute Rehabilitation Center</t>
  </si>
  <si>
    <t xml:space="preserve">Expired/Shea Post Acute Rehab</t>
  </si>
  <si>
    <t xml:space="preserve">Shea Post Acute_MME_BTS_Exp_8-19-2022_Auto_2024_LR.pdf</t>
  </si>
  <si>
    <t xml:space="preserve">2019-08-20</t>
  </si>
  <si>
    <t xml:space="preserve">2022-08-19 (initial); 2024-08-19 if both renewals taken</t>
  </si>
  <si>
    <t xml:space="preserve">Two consecutive 12-month renewals unless 60 days non-renewal notice</t>
  </si>
  <si>
    <t xml:space="preserve">Daily/monthly rates per Exhibit A (vents, BiPAP, infusion, NPWT $50-55/day, beds/frames)</t>
  </si>
  <si>
    <t xml:space="preserve">FMI primary medical equipment rental provider (no % stated)</t>
  </si>
  <si>
    <t xml:space="preserve">Net 30; 1.5%/month on invoices 60+ days past due; disputes within 90 days</t>
  </si>
  <si>
    <t xml:space="preserve">Customer liable for loss/damage at current market value; mutual indemnity; FMI liability limited to repair/replace/refund; binding arbitration</t>
  </si>
  <si>
    <t xml:space="preserve">Ensign-affiliated SNF in Arizona (notices to Ensign Services). Renewal window ended 2024-08-19 per filename 'Auto_2024'.</t>
  </si>
  <si>
    <t xml:space="preserve">Western Canal Healthcare, Inc. dba Tempe Post Acute</t>
  </si>
  <si>
    <t xml:space="preserve">Expired/Tempe Post Acute</t>
  </si>
  <si>
    <t xml:space="preserve">Tempe Post Acute_MME_BTS_Exp_7_31_2023_Auto_2025_LR.pdf</t>
  </si>
  <si>
    <t xml:space="preserve">2020-08-01</t>
  </si>
  <si>
    <t xml:space="preserve">2023-07-31 (initial); 2025-07-31 if both renewals taken</t>
  </si>
  <si>
    <t xml:space="preserve">Daily/monthly rates per Exhibit A (vents, BiPAP $7/day, bariatric beds $45-60/day, NPWT $50-55/day)</t>
  </si>
  <si>
    <t xml:space="preserve">Ensign-affiliated SNF in Tempe, AZ. Same FMI template as Shea. Renewal window ended 2025-07-31 per filename.</t>
  </si>
  <si>
    <t xml:space="preserve">FirstChoice Cooperative</t>
  </si>
  <si>
    <t xml:space="preserve">First Choice/Expired - Reference Doc</t>
  </si>
  <si>
    <t xml:space="preserve">FirstChoice Amendment_FC2384_Exp_4_930_2023.pdf</t>
  </si>
  <si>
    <t xml:space="preserve">FirstChoice FC2384</t>
  </si>
  <si>
    <t xml:space="preserve">2020-05-01 (original agreement 2017-05-01)</t>
  </si>
  <si>
    <t xml:space="preserve">2023-04-30</t>
  </si>
  <si>
    <t xml:space="preserve">3-year extension</t>
  </si>
  <si>
    <t xml:space="preserve">Either party with or without cause on 60 days written notice</t>
  </si>
  <si>
    <t xml:space="preserve">Not stated (quarterly period ends defined, implying quarterly reporting/fees)</t>
  </si>
  <si>
    <t xml:space="preserve">Amendment extending GPO agreement FC2384 three years. Folder marks Expired - Reference Doc.</t>
  </si>
  <si>
    <t xml:space="preserve">First Choice</t>
  </si>
  <si>
    <t xml:space="preserve">FCC_Extension_MME_FC2384_Exp_04_30_2026.pdf</t>
  </si>
  <si>
    <t xml:space="preserve">USME (US Med-Equip)</t>
  </si>
  <si>
    <t xml:space="preserve">2023-05-01</t>
  </si>
  <si>
    <t xml:space="preserve">2026-04-30 (3-yr extension)</t>
  </si>
  <si>
    <t xml:space="preserve">3-year extension (original agreement dated 2017-05-01)</t>
  </si>
  <si>
    <t xml:space="preserve">Either party, 60 days written notice with or without cause</t>
  </si>
  <si>
    <t xml:space="preserve">Per original FC2384 agreement</t>
  </si>
  <si>
    <t xml:space="preserve">Extends FC2384 three years from 5/1/2023. No further extension in file; past expiry as of 10/10/2026 unless renewed separately.</t>
  </si>
  <si>
    <t xml:space="preserve">FirstChoice Renewal Amendment MME Exp 4_30_2026.pdf</t>
  </si>
  <si>
    <t xml:space="preserve">USME</t>
  </si>
  <si>
    <t xml:space="preserve">2026-04-30</t>
  </si>
  <si>
    <t xml:space="preserve">Extension of 3 years (original agreement dated 2017-05-01)</t>
  </si>
  <si>
    <t xml:space="preserve">Either party, with or without cause, 60 days written notice</t>
  </si>
  <si>
    <t xml:space="preserve">Per original Agreement FC2384</t>
  </si>
  <si>
    <t xml:space="preserve">Amendment extends GPO agreement FC2384 by 3 years; all other terms unchanged. Text references 'FMS' as a party (likely typo).</t>
  </si>
  <si>
    <t xml:space="preserve">General Medical Equipment</t>
  </si>
  <si>
    <t xml:space="preserve">General Medical Equipment (Orange, CA)</t>
  </si>
  <si>
    <t xml:space="preserve">Expired/General Medical Equipment</t>
  </si>
  <si>
    <t xml:space="preserve">General Medical Equipment_MME_Exp_03_21_2022.pdf</t>
  </si>
  <si>
    <t xml:space="preserve">2019-03-22</t>
  </si>
  <si>
    <t xml:space="preserve">2022-03-21 (renewals, if exercised, ran to 2024-03-21)</t>
  </si>
  <si>
    <t xml:space="preserve">For cause only (30-day cure); no convenience termination</t>
  </si>
  <si>
    <t xml:space="preserve">Daily/monthly rates per Exhibit A (e.g., LTV 1200 ventilator $31.67/day, $886.82/mo)</t>
  </si>
  <si>
    <t xml:space="preserve">Primary rental provider for Exhibit A products (no % stated)</t>
  </si>
  <si>
    <t xml:space="preserve">Net 30; 1.5%/mo on invoices 60+ days past due; no offset; disputes within 90 days</t>
  </si>
  <si>
    <t xml:space="preserve">Customer liable for loss/damage from receipt to return, billed at replacement cost; FMI liability limited to repair/replace or refund; mutual indemnity</t>
  </si>
  <si>
    <t xml:space="preserve">Legacy FMI rental agreement with a DME/equipment company; single ventilator line on Exhibit A.</t>
  </si>
  <si>
    <t xml:space="preserve">Halifax Health</t>
  </si>
  <si>
    <t xml:space="preserve">Halifax Medical Center (Halifax Health)</t>
  </si>
  <si>
    <t xml:space="preserve">Expired/Halifax Medical</t>
  </si>
  <si>
    <t xml:space="preserve">Halifax_MME_BTS_Exp_6_30_2025_LR.pdf</t>
  </si>
  <si>
    <t xml:space="preserve">2020-07-01</t>
  </si>
  <si>
    <t xml:space="preserve">2025-06-30</t>
  </si>
  <si>
    <t xml:space="preserve">5 years (60 months)</t>
  </si>
  <si>
    <t xml:space="preserve">Customer-only: Halifax may terminate without cause on 60 days notice, but FMI may back-bill difference to GPO access pricing from Effective Date; either party for cause (30-day cure)</t>
  </si>
  <si>
    <t xml:space="preserve">Fixed daily/monthly rates per Exhibit A Rental Pricing Schedule</t>
  </si>
  <si>
    <t xml:space="preserve">Pricing firm for 60 months</t>
  </si>
  <si>
    <t xml:space="preserve">Not stated (AKS discount-safe-harbor language only)</t>
  </si>
  <si>
    <t xml:space="preserve">Primary provider: 90% of all equipment rentals; no minimum dollar volume</t>
  </si>
  <si>
    <t xml:space="preserve">Net 30; no offset; disputes within 90 days</t>
  </si>
  <si>
    <t xml:space="preserve">Customer bears loss/damage (normal wear excepted); may pay or replace lost items; FMI liability limited to repair/replace/refund; mutual indemnity</t>
  </si>
  <si>
    <t xml:space="preserve">Legacy FMI network agreement with implementation plan and quarterly business reviews based on 12-month rental history.</t>
  </si>
  <si>
    <t xml:space="preserve">HatchMed</t>
  </si>
  <si>
    <t xml:space="preserve">HatchMed Corporation (Supplier; USME is Reseller)</t>
  </si>
  <si>
    <t xml:space="preserve">Expired/Hatch Med</t>
  </si>
  <si>
    <t xml:space="preserve">Hatch_Exclusive_Distribution_Agreement_1_12_2024.pdf</t>
  </si>
  <si>
    <t xml:space="preserve">2024-01-15</t>
  </si>
  <si>
    <t xml:space="preserve">2024-12-31</t>
  </si>
  <si>
    <t xml:space="preserve">~1 year</t>
  </si>
  <si>
    <t xml:space="preserve">Mutual written agreement; 30-day cure for breach; insolvency; force majeure &gt;2 months on 30 days notice</t>
  </si>
  <si>
    <t xml:space="preserve">USME buys at dealer price per Exhibit A (magnetic breakaway bed/nurse-call cables); 25% restocking fee on returns</t>
  </si>
  <si>
    <t xml:space="preserve">Supplier may change purchase price on 30 days written notice</t>
  </si>
  <si>
    <t xml:space="preserve">USME exclusive distributor in 13 Northeast/Mid-Atlantic states; USME may not sell other makers' bed cables; target +50% revenue ($820K) but no minimum purchase</t>
  </si>
  <si>
    <t xml:space="preserve">Net 30 from invoice, ACH/EFT</t>
  </si>
  <si>
    <t xml:space="preserve">Supplier indemnifies USME for product liability and recalls; no consequential damages either way; binding AAA arbitration</t>
  </si>
  <si>
    <t xml:space="preserve">USME as reseller (buy side) for HatchMed breakaway nurse-call cables in VA-ME territory. Missing growth target could trigger review of exclusivity. Term ended 12/31/2024.</t>
  </si>
  <si>
    <t xml:space="preserve">University of South Alabama - USA Health/Expired - Reference Agreement</t>
  </si>
  <si>
    <t xml:space="preserve">USA SIP _MME_Exp_9-30_2024.pdf</t>
  </si>
  <si>
    <t xml:space="preserve">2021-08-01 (HPG agreement date; signed ~2022)</t>
  </si>
  <si>
    <t xml:space="preserve">Not stated (filename indicates 2024-09-30)</t>
  </si>
  <si>
    <t xml:space="preserve">Earlier SIP acknowledgement for USA University Hospital and Children's &amp; Women's Hospital; superseded by later SIP. Folder marks expired/reference.</t>
  </si>
  <si>
    <t xml:space="preserve">GPO/HealthTrust/Expired - Reference Document/HPG-77980</t>
  </si>
  <si>
    <t xml:space="preserve">HPG_BTS_77980_2024_FC_081924_SIP_Exp 9_30_2025.pdf</t>
  </si>
  <si>
    <t xml:space="preserve">Not stated (filename says 2025-09-30)</t>
  </si>
  <si>
    <t xml:space="preserve">Not stated (Agreement dated 2022-10-01)</t>
  </si>
  <si>
    <t xml:space="preserve">Facility/Group may exit SIP on 30 days notice; HealthTrust may terminate participation on 30 days notice; USME remedy for non-compliance is SIP termination after 60-day cure</t>
  </si>
  <si>
    <t xml:space="preserve">Rental beds, surfaces and equipment per HPG-77980 Exhibit A</t>
  </si>
  <si>
    <t xml:space="preserve">3% annual rebate on Covered Products, paid to HealthTrust within 60 days of calendar year end</t>
  </si>
  <si>
    <t xml:space="preserve">Facility or Group commits to 80%+ of requirements for rental beds/surfaces; sites on S2 agreements excluded</t>
  </si>
  <si>
    <t xml:space="preserve">Amendment adds SIP facility and group acknowledgement forms (blank templates) for BTS. Text has inconsistent agreement dates (2022-10-01, 2024-09-01, 2024-07-01). Expiry only from filename/folder.</t>
  </si>
  <si>
    <t xml:space="preserve">Northern California Rehabilitation Hospital, LLC (dba Vibra Hospital of Northern California)</t>
  </si>
  <si>
    <t xml:space="preserve">Expired/Northern CA Rehab Hospital (Vibra)</t>
  </si>
  <si>
    <t xml:space="preserve">Vibra N_CA_HPG_SIP_Exp_9_30_2025_LR.pdf</t>
  </si>
  <si>
    <t xml:space="preserve">US Med-Equip LLC (vendor named Freedom Medical Inc in body)</t>
  </si>
  <si>
    <t xml:space="preserve">3 years (Incentive Period)</t>
  </si>
  <si>
    <t xml:space="preserve">Facility may terminate on 30 days written notice (forfeits rebates); Vendor may terminate if Commitment unmet</t>
  </si>
  <si>
    <t xml:space="preserve">HPG-77980 contract pricing</t>
  </si>
  <si>
    <t xml:space="preserve">8% rebate on all Covered Product purchases above Baseline ($0), paid to HealthTrust within 30 days after Incentive Period</t>
  </si>
  <si>
    <t xml:space="preserve">Commitment to increase spend; rebate still owed on projected spend if Vendor fails to supply</t>
  </si>
  <si>
    <t xml:space="preserve">Facility must be current on payables to receive rebate</t>
  </si>
  <si>
    <t xml:space="preserve">Vendor supply failure keeps 8% rebate obligation on projected spend</t>
  </si>
  <si>
    <t xml:space="preserve">HPG rebate acknowledgement (Exhibit C) under FMI's HPG-77980 agreement; signed by USME. Covered Products box blank in OCR.</t>
  </si>
  <si>
    <t xml:space="preserve">HealthTrust (HPG) / HCA</t>
  </si>
  <si>
    <t xml:space="preserve">HealthTrust Purchasing Group, LP and HCA Management Services, LP</t>
  </si>
  <si>
    <t xml:space="preserve">GPO/HealthTrust/Expired - Reference Document</t>
  </si>
  <si>
    <t xml:space="preserve">HPG MME S2_7093_Amendment 2_year extension exp 6_30_2026.pdf</t>
  </si>
  <si>
    <t xml:space="preserve">HPG-7093 (HCA S2 Pricing Agreement)</t>
  </si>
  <si>
    <t xml:space="preserve">2024-05-01</t>
  </si>
  <si>
    <t xml:space="preserve">2026-06-30</t>
  </si>
  <si>
    <t xml:space="preserve">Not stated (Pricing Agreement dated 2020-08-01)</t>
  </si>
  <si>
    <t xml:space="preserve">HCA S2 committed pricing per Exhibit A baselines under HPG-7093</t>
  </si>
  <si>
    <t xml:space="preserve">HCA earns 5% quarterly rebate on all Committed Product spend; paid within 45 days of quarter; baseline reviewed annually</t>
  </si>
  <si>
    <t xml:space="preserve">HCA commits to 90%+ of MME rental spend per division in USME service areas; new areas 60 days to convert or rebate forfeited; quarterly leakage reporting and QBRs</t>
  </si>
  <si>
    <t xml:space="preserve">30 days DSO required; facility forfeits quarterly rebate if division DSO exceeds 30 days</t>
  </si>
  <si>
    <t xml:space="preserve">Rebate forfeiture is the main enforcement lever; no other risk terms stated</t>
  </si>
  <si>
    <t xml:space="preserve">HCA corporate S2 pricing agreement extended 2 years to 6/30/2026. Expiry has passed; confirm whether an HCA-specific S2 extension exists beyond the HPG-7093 extension to 7/31/2029.</t>
  </si>
  <si>
    <t xml:space="preserve">Irondale Post Acute</t>
  </si>
  <si>
    <t xml:space="preserve">West Van Buren Healthcare, Inc. dba Irondale Post Acute</t>
  </si>
  <si>
    <t xml:space="preserve">Irondale Post Acute_MME_BTS_Exp_01_14_2024_renew 2026.pdf</t>
  </si>
  <si>
    <t xml:space="preserve">2021-01-15</t>
  </si>
  <si>
    <t xml:space="preserve">2024-01-14 (initial); 2026-01-14 if both renewals taken</t>
  </si>
  <si>
    <t xml:space="preserve">Either party, 30 days written notice without cause; 30-day cure for breach</t>
  </si>
  <si>
    <t xml:space="preserve">Exhibit A daily/monthly rental pricing schedule (vents, BiPAPs, etc.)</t>
  </si>
  <si>
    <t xml:space="preserve">Firm for 36 months</t>
  </si>
  <si>
    <t xml:space="preserve">Customer to use FMI as primary medical equipment rental provider</t>
  </si>
  <si>
    <t xml:space="preserve">Net 30 from invoice; 1.5%/month on invoices 60+ days past due; suspension on 5 days notice; no offsets</t>
  </si>
  <si>
    <t xml:space="preserve">Customer liable for loss/damage and market value of lost units; FMI liability limited to repair/replace/refund; mutual indemnity; arbitration</t>
  </si>
  <si>
    <t xml:space="preserve">Legacy Freedom Medical post-acute agreement. Filename notes renewal to 2026; both renewal options would end 1/14/2026, so no remaining renewal term as of 10/2026.</t>
  </si>
  <si>
    <t xml:space="preserve">Johns Hopkins/Expired - for Reference</t>
  </si>
  <si>
    <t xml:space="preserve">Johns Hopkins_BTS_Exp_9_30_23.pdf</t>
  </si>
  <si>
    <t xml:space="preserve">BTS Rental, Asset Mgmt/On-site</t>
  </si>
  <si>
    <t xml:space="preserve">2020-10-01</t>
  </si>
  <si>
    <t xml:space="preserve">2023-09-30</t>
  </si>
  <si>
    <t xml:space="preserve">Two 1-yr renewals by mutual agreement</t>
  </si>
  <si>
    <t xml:space="preserve">No convenience termination first 18 months; thereafter JHHS only, 180 days notice</t>
  </si>
  <si>
    <t xml:space="preserve">Firm daily rates per Exhibit B specialty bed price list; 15% discount if JHHS moves to capitated program</t>
  </si>
  <si>
    <t xml:space="preserve">Firm for term</t>
  </si>
  <si>
    <t xml:space="preserve">2% annual rebate on each facility's spend</t>
  </si>
  <si>
    <t xml:space="preserve">90% of JHHS specialty bed/surface requirements; shortfall billed at GPO access pricing</t>
  </si>
  <si>
    <t xml:space="preserve">Net 60; 1% discount net 15</t>
  </si>
  <si>
    <t xml:space="preserve">On-site staff required at JHH and Bayview; 24/7 customer service with 15-min response; performance metrics; $5M insurance minimum noted; background checks</t>
  </si>
  <si>
    <t xml:space="preserve">Legacy Freedom Medical specialty bed RFP award for JHHS facilities with on-site inventory staff and clinical education. Expired 9/30/2023; folder marks reference.</t>
  </si>
  <si>
    <t xml:space="preserve">Johns Hopkins_BTS_Amendment_Exp_9_30_2023.pdf</t>
  </si>
  <si>
    <t xml:space="preserve">2021-07-07 (amendment; original agreement 2020-10-01)</t>
  </si>
  <si>
    <t xml:space="preserve">Not stated (filename: 2023-09-30)</t>
  </si>
  <si>
    <t xml:space="preserve">Adds Schedule A bed daily prices (e.g., Freedom 1000D $97.50/day; Safe Bed $45.08/day)</t>
  </si>
  <si>
    <t xml:space="preserve">Pricing amendment adding Freedom bariatric/safety bed rates to JHHS Exhibit B. Folder marks Expired/Reference.</t>
  </si>
  <si>
    <t xml:space="preserve">KPC Healthcare</t>
  </si>
  <si>
    <t xml:space="preserve">KPC Healthcare, Inc. (Anaheim, Chapman, Orange County and South Coast Global Medical Centers)</t>
  </si>
  <si>
    <t xml:space="preserve">KPC</t>
  </si>
  <si>
    <t xml:space="preserve">KPC Global_MME_BTS_Exp_2_28_2024_Auto_2026.pdf</t>
  </si>
  <si>
    <t xml:space="preserve">2021-03-01</t>
  </si>
  <si>
    <t xml:space="preserve">2024-02-28 initial; 2026-02-28 if both renewals ran</t>
  </si>
  <si>
    <t xml:space="preserve">For cause only (30-day cure); early termination without cause triggers back-billing to GPO pricing</t>
  </si>
  <si>
    <t xml:space="preserve">Rental rates per Exhibit A, firm for 36 months</t>
  </si>
  <si>
    <t xml:space="preserve">Firm 36 months; thereafter not stated</t>
  </si>
  <si>
    <t xml:space="preserve">Primary provider: 90% of equipment rentals with FMI; purchases not restricted; back-billing to GPO access pricing if customer uses another primary vendor</t>
  </si>
  <si>
    <t xml:space="preserve">Net 45 from invoice; 1.5%/month on invoices 60+ days past due; suspension on 5 days notice; no offset; disputes within 90 days</t>
  </si>
  <si>
    <t xml:space="preserve">Customer bears loss/damage at replacement cost; FMI liability limited to repair/replace/refund; mutual indemnity; PA law, Orange County CA venue</t>
  </si>
  <si>
    <t xml:space="preserve">Legacy FMI agreement for KPC's four Orange County hospitals. Both renewal years appear used, so term ended ~2/28/2026; any continued service is likely holdover. Filename 'Auto_2026' consistent.</t>
  </si>
  <si>
    <t xml:space="preserve">LA Downtown Medical Center</t>
  </si>
  <si>
    <t xml:space="preserve">Expired/LA Downtown Med Center</t>
  </si>
  <si>
    <t xml:space="preserve">LA Downtown Medical Center_MME_BTS_Exp_04_30_22_Auto_2023.pdf</t>
  </si>
  <si>
    <t xml:space="preserve">2019-05-01</t>
  </si>
  <si>
    <t xml:space="preserve">2022-04-30 (renewals, if exercised, ran to 2024-04-30)</t>
  </si>
  <si>
    <t xml:space="preserve">For cause only (30-day cure); early cancellation triggers clawback</t>
  </si>
  <si>
    <t xml:space="preserve">Daily/monthly rates per Exhibit A (BiPAP, vents, Spectrum pumps, Freedom 1000/500 beds, Rotec low beds)</t>
  </si>
  <si>
    <t xml:space="preserve">Primary vendor: 90% of rentals; if cancelled early or non-compliant, FMI may charge difference vs. GPO access pricing back to effective date</t>
  </si>
  <si>
    <t xml:space="preserve">Net 30; 1.5%/mo on invoices 60+ days past due; no offset</t>
  </si>
  <si>
    <t xml:space="preserve">Customer liable for loss/damage at replacement cost; FMI liability limited to repair/replace or refund; mutual indemnity</t>
  </si>
  <si>
    <t xml:space="preserve">Legacy FMI agreement covering MME and bariatric/BTS. Filename 'Auto_2023' consistent with one renewal; all renewal options exhausted by 4/30/2024.</t>
  </si>
  <si>
    <t xml:space="preserve">Louisiana Children's Medical Center d/b/a LCMC Health</t>
  </si>
  <si>
    <t xml:space="preserve">LCMC_rebate agreement_Exp_10_31_2025_LR.pdf</t>
  </si>
  <si>
    <t xml:space="preserve">2022-11-01</t>
  </si>
  <si>
    <t xml:space="preserve">~3 years</t>
  </si>
  <si>
    <t xml:space="preserve">None; terminates automatically at expiration</t>
  </si>
  <si>
    <t xml:space="preserve">Either party, without cause, on 30 days written notice (per product or all)</t>
  </si>
  <si>
    <t xml:space="preserve">Rebate on rental of Products per Exhibit A</t>
  </si>
  <si>
    <t xml:space="preserve">3% quarterly rebate on total spend, paid within 45 days after each quarter</t>
  </si>
  <si>
    <t xml:space="preserve">Customer commits to 90% of annual MME rental spend in USME service areas; new-area facilities have 60 days to convert or rebate is forfeited; quarterly leakage reporting</t>
  </si>
  <si>
    <t xml:space="preserve">Must maintain 30-day DSO or forfeit quarterly rebate</t>
  </si>
  <si>
    <t xml:space="preserve">Quarterly business reviews required; supersedes prior rebate agreements</t>
  </si>
  <si>
    <t xml:space="preserve">Rebate overlay to LCMC's Equipment Rental Agreement; covers affiliated facilities in Exhibit B. Louisiana law, Orleans Parish venue.</t>
  </si>
  <si>
    <t xml:space="preserve">Marshall Medical Center</t>
  </si>
  <si>
    <t xml:space="preserve">Expired/Marshall Medical Center</t>
  </si>
  <si>
    <t xml:space="preserve">Marshall Medical Center_Exp_6-30-2023_LR.pdf</t>
  </si>
  <si>
    <t xml:space="preserve">2019-03-15</t>
  </si>
  <si>
    <t xml:space="preserve">2021-03-14 initial; latest 2023-03-14 with renewals (filename says 2023-06-30)</t>
  </si>
  <si>
    <t xml:space="preserve">2 years (24 months)</t>
  </si>
  <si>
    <t xml:space="preserve">No termination for convenience; for cause only (30-day cure)</t>
  </si>
  <si>
    <t xml:space="preserve">Fixed daily/monthly rates per Exhibit A (e.g., Baxter pumps)</t>
  </si>
  <si>
    <t xml:space="preserve">Pricing firm for 24 months</t>
  </si>
  <si>
    <t xml:space="preserve">Supplemental (not primary) rental provider; no commitment</t>
  </si>
  <si>
    <t xml:space="preserve">Net 30; 1.5%/month on invoices 60+ days past due; suspension on 5 days notice</t>
  </si>
  <si>
    <t xml:space="preserve">Customer bears loss/damage; replacement cost billing; FMI liability limited to repair/replace/refund; mutual indemnity</t>
  </si>
  <si>
    <t xml:space="preserve">Legacy FMI supplemental provider agreement with annual performance review. Text-derived max expiry 2023-03-14 differs slightly from filename 6/30/2023.</t>
  </si>
  <si>
    <t xml:space="preserve">Marshall_Amendment_Exp_6-30-2023.pdf</t>
  </si>
  <si>
    <t xml:space="preserve">2020-03-24 (amendment); original agreement eff. 2019-03-15</t>
  </si>
  <si>
    <t xml:space="preserve">Not stated (filename indicates 2023-06-30)</t>
  </si>
  <si>
    <t xml:space="preserve">Hospital may terminate immediately if Provider's actions adversely impact patient care and safety</t>
  </si>
  <si>
    <t xml:space="preserve">Per original agreement</t>
  </si>
  <si>
    <t xml:space="preserve">Quality measures program; 90% fulfillment rate performance metric (Attachment A); corrective action plan if unmet</t>
  </si>
  <si>
    <t xml:space="preserve">Amendment 1 adds quality-reporting (quarterly data) and a 90% fill-rate expectation to the 2019 FMI rental agreement. Expiration date only in filename.</t>
  </si>
  <si>
    <t xml:space="preserve">Mirabella at ASU</t>
  </si>
  <si>
    <t xml:space="preserve">Expired/Mirabella in ASU</t>
  </si>
  <si>
    <t xml:space="preserve">Mirabella at ASU_MME_BTS_Exp_7_26_25.pdf</t>
  </si>
  <si>
    <t xml:space="preserve">MME Rental, BTS Rental, Respiratory, Other</t>
  </si>
  <si>
    <t xml:space="preserve">2020-07-27</t>
  </si>
  <si>
    <t xml:space="preserve">2025-07-26 (initial 2023-07-26 + two 12-month renewals)</t>
  </si>
  <si>
    <t xml:space="preserve">Either party without cause on 30 days written notice; for cause w/30-day cure</t>
  </si>
  <si>
    <t xml:space="preserve">Fixed daily/monthly rates per Exhibit A; NPWT Genadyne XLR8 $50/day, XLR8+ $55/day incl. supplies</t>
  </si>
  <si>
    <t xml:space="preserve">Net 30; 1.5%/month on invoices 60+ days past due; no offset; disputes within 90 days</t>
  </si>
  <si>
    <t xml:space="preserve">Customer liable for loss/damage (current market value); FMI liability limited to repair/replace/refund; mutual indemnity; arbitration</t>
  </si>
  <si>
    <t xml:space="preserve">Legacy Freedom Medical senior-living rental agreement incl. ventilators, BiPAP, NPWT. Renewals exhausted 7/26/2025.</t>
  </si>
  <si>
    <t xml:space="preserve">Mission Palms Post Acute</t>
  </si>
  <si>
    <t xml:space="preserve">Royal View Healthcare, Inc. dba Mission Palms Post Acute</t>
  </si>
  <si>
    <t xml:space="preserve">Expired/Mission Palms Post Acute</t>
  </si>
  <si>
    <t xml:space="preserve">Mission Palms Post Acute_MME_BTS_Exp_1_31_2023.pdf</t>
  </si>
  <si>
    <t xml:space="preserve">2020-02-01</t>
  </si>
  <si>
    <t xml:space="preserve">2023-01-31 (initial term)</t>
  </si>
  <si>
    <t xml:space="preserve">Exhibit A daily/monthly rental rates (vents, BiPAPs, NPWT at $50-55/day incl. supplies)</t>
  </si>
  <si>
    <t xml:space="preserve">Net 30 from invoice; 1.5%/month on invoices 60+ days past due; suspension on 5 days notice; no offsets; 90-day billing dispute window</t>
  </si>
  <si>
    <t xml:space="preserve">Customer liable for loss/damage, market value of lost units, unreturned accessories; FMI liability limited to repair/replace/refund; mutual indemnity; arbitration</t>
  </si>
  <si>
    <t xml:space="preserve">Legacy Freedom Medical post-acute agreement; with both renewals max term ran to 1/31/2025. Folder marks Expired.</t>
  </si>
  <si>
    <t xml:space="preserve">North Mississippi Health Services</t>
  </si>
  <si>
    <t xml:space="preserve">Monroe Health Services, Inc. (NMMC Gilmore-Amory)</t>
  </si>
  <si>
    <t xml:space="preserve">Expired/The University of Mississippi Medical Center</t>
  </si>
  <si>
    <t xml:space="preserve">North Mississippi Medical Center Gilmore Amory_MME_Exp_05_31_2023.pdf</t>
  </si>
  <si>
    <t xml:space="preserve">2022-06-01</t>
  </si>
  <si>
    <t xml:space="preserve">2023-05-31</t>
  </si>
  <si>
    <t xml:space="preserve">Fixed daily/monthly rates per Exhibit A; no minimum rental days</t>
  </si>
  <si>
    <t xml:space="preserve">Pricing firm for 12 months</t>
  </si>
  <si>
    <t xml:space="preserve">Primary provider for Exhibit A products; consignment stock at no charge until used</t>
  </si>
  <si>
    <t xml:space="preserve">Net 30; 1%/month (12%/yr) on invoices 60+ days past due</t>
  </si>
  <si>
    <t xml:space="preserve">Customer bears loss/damage and cleaning between patients; FMI liability limited to repair/replace/refund</t>
  </si>
  <si>
    <t xml:space="preserve">Folder name (UMMC) conflicts with the text: counterparty is Monroe Health Services / NMMC Gilmore-Amory (Amory, MS). Consignment model.</t>
  </si>
  <si>
    <t xml:space="preserve">Northwell Health</t>
  </si>
  <si>
    <t xml:space="preserve">Northwell Health Alliance, Inc. and Northwell Health Regional Alliance, Inc. (Northwell Health, Inc.)</t>
  </si>
  <si>
    <t xml:space="preserve">Northwell</t>
  </si>
  <si>
    <t xml:space="preserve">NorthWell_Vizient_MME_Exp_12_31_2025_LR.pdf</t>
  </si>
  <si>
    <t xml:space="preserve">Northwell Health Alliance GPO (Vizient per filename)</t>
  </si>
  <si>
    <t xml:space="preserve">Not stated (signed 2023-04-05; T&amp;Cs dated 10/26/2022)</t>
  </si>
  <si>
    <t xml:space="preserve">Not stated in text (filename says 2025-12-31)</t>
  </si>
  <si>
    <t xml:space="preserve">Not stated (summary page not in text)</t>
  </si>
  <si>
    <t xml:space="preserve">Renewal only by mutual written agreement</t>
  </si>
  <si>
    <t xml:space="preserve">Alliance may terminate or delete products without cause on 90 days notice; USME must continue supply up to 60 days if its termination disrupts patient care</t>
  </si>
  <si>
    <t xml:space="preserve">Fixed pricing per separate Excel price book for entire term</t>
  </si>
  <si>
    <t xml:space="preserve">Fixed for term; renewal increases capped at lesser of 1% or annual CPI change</t>
  </si>
  <si>
    <t xml:space="preserve">Contract Administration Fee to Alliance at % in Summary Item 8 (not in text), paid quarterly</t>
  </si>
  <si>
    <t xml:space="preserve">Members endeavor to pay within 60 days; interest, late fees, fuel surcharges and other unlisted fees excluded</t>
  </si>
  <si>
    <t xml:space="preserve">Insurance: CGL $1M/$3M, umbrella $5M, cyber $5M/$5M, auto $1M; USME property on site at its sole risk; recall costs borne by USME; BAA with offshore PHI ban; NY law</t>
  </si>
  <si>
    <t xml:space="preserve">Northwell Alliance standard GPO T&amp;Cs plus BAA signed by Tim Heck (CDO); summary/signature page with dates, admin fee % and pricing not in the extracted text. Status relies on filename expiry 12/31/2025.</t>
  </si>
  <si>
    <t xml:space="preserve">Northwestern Medicine</t>
  </si>
  <si>
    <t xml:space="preserve">Northwestern Medicine Central DuPage Hospital</t>
  </si>
  <si>
    <t xml:space="preserve">Central DuPage Hospital</t>
  </si>
  <si>
    <t xml:space="preserve">Central DuPage_MME_Exp_12_31_2023_Auto_2025_LR.pdf</t>
  </si>
  <si>
    <t xml:space="preserve">2020-01-01</t>
  </si>
  <si>
    <t xml:space="preserve">2022-12-31 initial; latest 2024-12-31 if both renewals taken</t>
  </si>
  <si>
    <t xml:space="preserve">3 years (36 months)</t>
  </si>
  <si>
    <t xml:space="preserve">No termination for convenience stated; for cause only (30-day cure)</t>
  </si>
  <si>
    <t xml:space="preserve">Primary provider: 90% of all equipment rentals; early cancellation or non-primary use lets FMI back-bill difference to GPO access level pricing from Effective Date</t>
  </si>
  <si>
    <t xml:space="preserve">Net 30; 1.5%/month (18%/yr) on invoices 60+ days past due; may suspend service on 5 days notice; no offset; disputes within 90 days</t>
  </si>
  <si>
    <t xml:space="preserve">Customer bears loss/damage from receipt to return; replacement cost for lost equipment/accessories; FMI liability limited to repair/replace/refund; mutual indemnity</t>
  </si>
  <si>
    <t xml:space="preserve">Legacy FMI rental agreement. Text supports expiry 2022-12-31 plus two 1-yr renewals (max 2024-12-31); filename says Exp 12/31/2023 Auto 2025, which does not match text.</t>
  </si>
  <si>
    <t xml:space="preserve">Overlake Medical Center</t>
  </si>
  <si>
    <t xml:space="preserve">Expired/Overlake</t>
  </si>
  <si>
    <t xml:space="preserve">Overlake Medical Center_MME_BTS_Exp_8_01_2021_Auto_2023.pdf</t>
  </si>
  <si>
    <t xml:space="preserve">2018-08-01</t>
  </si>
  <si>
    <t xml:space="preserve">2021-07-31 initial; latest 2023-07-31 with renewals</t>
  </si>
  <si>
    <t xml:space="preserve">Fixed daily/monthly rates per Exhibit A (CPAP/BiPAP, monitors, Rotec beds)</t>
  </si>
  <si>
    <t xml:space="preserve">Primary provider: 90% of all equipment rentals</t>
  </si>
  <si>
    <t xml:space="preserve">Customer bears loss/damage; replacement cost billing; FMI liability limited to repair/replace/refund</t>
  </si>
  <si>
    <t xml:space="preserve">Legacy FMI agreement; all renewal periods lapsed by 7/31/2023.</t>
  </si>
  <si>
    <t xml:space="preserve">PedsEndoCare</t>
  </si>
  <si>
    <t xml:space="preserve">PedsEndoCare PLLC</t>
  </si>
  <si>
    <t xml:space="preserve">PedsEndoCare_HPG_SIP_Exp 7_1_2026.pdf</t>
  </si>
  <si>
    <t xml:space="preserve">2023-01-04 (signed; HPG-7093 effective 2021-08-01)</t>
  </si>
  <si>
    <t xml:space="preserve">Group may terminate SIP on 30 days notice; HealthTrust 30 days; vendor only for missed commitment after 60-day cure</t>
  </si>
  <si>
    <t xml:space="preserve">Group commits to &gt;=80% of requirements for Products</t>
  </si>
  <si>
    <t xml:space="preserve">Single-site pediatric endocrinology practice (Brentwood, TN) HPG SIP. Expiration only in filename (7/1/2026), which has passed.</t>
  </si>
  <si>
    <t xml:space="preserve">The Trustees of the University of Pennsylvania (University of Pennsylvania Health System) - Penn Home Infusion</t>
  </si>
  <si>
    <t xml:space="preserve">Penn_Home_Infusion_Extension_Amendment_Exp_8_31_2026_LR.pdf</t>
  </si>
  <si>
    <t xml:space="preserve">US Med-Equip LLC (USME)</t>
  </si>
  <si>
    <t xml:space="preserve">2023-07-18 (pricing effective 2023-09-01)</t>
  </si>
  <si>
    <t xml:space="preserve">2026-08-31</t>
  </si>
  <si>
    <t xml:space="preserve">Underlying T&amp;Cs effective 2018-07-01</t>
  </si>
  <si>
    <t xml:space="preserve">Extension through 2026-08-31 (Amendment No. 2)</t>
  </si>
  <si>
    <t xml:space="preserve">Either party by written notice of intent to cancel (no notice period stated)</t>
  </si>
  <si>
    <t xml:space="preserve">Solis VIP ambulatory infusion pump rental at $154.85/month</t>
  </si>
  <si>
    <t xml:space="preserve">Fixed 2023-09-01 through 2026-08-31</t>
  </si>
  <si>
    <t xml:space="preserve">Minimum on-rent quantity of 500 units for duration; units purchased above 750 total carry 6-month minimum rental</t>
  </si>
  <si>
    <t xml:space="preserve">Penn Home Infusion fleet rental of ~500+ Solis VIP pumps; expired 8/31/2026 per text unless further extended (filename _LR).</t>
  </si>
  <si>
    <t xml:space="preserve">Philips</t>
  </si>
  <si>
    <t xml:space="preserve">Philips North America LLC</t>
  </si>
  <si>
    <t xml:space="preserve">Philips Service CW465495_MV SOW_Exp_1_31_2025_LR.pdf</t>
  </si>
  <si>
    <t xml:space="preserve">Direct (Philips MPA CW393649 / SOW CW465495)</t>
  </si>
  <si>
    <t xml:space="preserve">2023-01-15</t>
  </si>
  <si>
    <t xml:space="preserve">2025-01-31</t>
  </si>
  <si>
    <t xml:space="preserve">~2 years</t>
  </si>
  <si>
    <t xml:space="preserve">Not stated (governed by MPA CW393649)</t>
  </si>
  <si>
    <t xml:space="preserve">Flat depot CM/PM rates per Attachment A by device; onsite services $125/hr (M-F 8-5)</t>
  </si>
  <si>
    <t xml:space="preserve">Not stated (work only on Philips PO)</t>
  </si>
  <si>
    <t xml:space="preserve">Not stated; invoices via email per Philips rules, PO required before work</t>
  </si>
  <si>
    <t xml:space="preserve">90-day warranty; KPIs: PM 3 days and CM 10 days dock-to-dock, onsite within 15 business days, &lt;5% warranty failure; OEM parts required; ISO9001 quality</t>
  </si>
  <si>
    <t xml:space="preserve">USME acts as multi-vendor depot/onsite service subcontractor to Philips across 10 depot locations. Folder marks Expired.</t>
  </si>
  <si>
    <t xml:space="preserve">Post Acute Medical (PAM)</t>
  </si>
  <si>
    <t xml:space="preserve">Post Acute Medical, LLC</t>
  </si>
  <si>
    <t xml:space="preserve">Expired/Post Acute Medical</t>
  </si>
  <si>
    <t xml:space="preserve">Post Acute Medical_Exp_12_16_2022_Auto_2024_LR.pdf</t>
  </si>
  <si>
    <t xml:space="preserve">2019-12-16</t>
  </si>
  <si>
    <t xml:space="preserve">2022-12-15 (renewals, if exercised, ran to 2024-12-15)</t>
  </si>
  <si>
    <t xml:space="preserve">Daily rates per Exhibit A (vents, BiPAP, air fluidized Freedom Wave $42-$72/day; therapeutic packages $85/$110)</t>
  </si>
  <si>
    <t xml:space="preserve">Not stated (no primary-vendor clause captured); FMI implementation plan with quarterly business reviews</t>
  </si>
  <si>
    <t xml:space="preserve">IDN agreement covering ~8 PAM specialty/LTACH hospitals (Denver, Sarasota, Las Vegas, Shreveport N/S, Dayton, Sparks, Rocky Mount). All renewal options exhausted by 12/2024.</t>
  </si>
  <si>
    <t xml:space="preserve">Premier Healthcare Alliance, L.P. (KIINDO program)</t>
  </si>
  <si>
    <t xml:space="preserve">GPO/Premier/Premier - Kindo (Children's Hospitals) - KI-NS-1565/Expired - Reference Document</t>
  </si>
  <si>
    <t xml:space="preserve">Premier_Kindo_KI-NS-1565_BTS_Exp_2_28_2025.pdf</t>
  </si>
  <si>
    <t xml:space="preserve">2021-12-01</t>
  </si>
  <si>
    <t xml:space="preserve">39 months</t>
  </si>
  <si>
    <t xml:space="preserve">Premier may terminate without cause on 90 days notice (or delete services)</t>
  </si>
  <si>
    <t xml:space="preserve">KIINDO tiers: ACCESS (no requirement) and KIINDO Tier (80% participation) per Exhibit A-3 price list</t>
  </si>
  <si>
    <t xml:space="preserve">Premier admin fee 5%, paid monthly</t>
  </si>
  <si>
    <t xml:space="preserve">KIINDO tier requires 80% participation; 60-day tier reduction notice</t>
  </si>
  <si>
    <t xml:space="preserve">2% early-pay discount within 30 days; full payment within 60 days</t>
  </si>
  <si>
    <t xml:space="preserve">MFN: pricing better than any marketplace price and 3% below best national tier; must match lower reseller price; 2-hr + drive-time delivery guarantee with cover-cost reimbursement</t>
  </si>
  <si>
    <t xml:space="preserve">Children's hospital (KIINDO) beds/surfaces GPO agreement with legacy Freedom Medical. Expired 2/28/2025; folder marks it reference.</t>
  </si>
  <si>
    <t xml:space="preserve">GPO/Premier/Premier Beds - PP-NS-1565/Expired - Reference Contract</t>
  </si>
  <si>
    <t xml:space="preserve">Premier_BTS_PP-NS-1565_Exp_2_28_2025.pdf</t>
  </si>
  <si>
    <t xml:space="preserve">Premier may terminate without cause on 90 days notice (and delete services on 90 days); Seller has no stated convenience right</t>
  </si>
  <si>
    <t xml:space="preserve">Exhibit A-3 tiered price list: Tier 1 no commitment; Tier 2 &gt;80% committed or $100K-&lt;$300K; Tier 3 $300K-&lt;$1M or AMC; Tier 4 &gt;$1M</t>
  </si>
  <si>
    <t xml:space="preserve">Prices may not increase during term</t>
  </si>
  <si>
    <t xml:space="preserve">5% Premier admin fee, paid monthly; 2% member early-pay discount within 30 days</t>
  </si>
  <si>
    <t xml:space="preserve">No minimum orders; value-adds: up to 2% of spend free for indigent care; on-site FTE for Tier 3+ primary-provider members</t>
  </si>
  <si>
    <t xml:space="preserve">2% discount if paid within 30 days; full payment within 60 days</t>
  </si>
  <si>
    <t xml:space="preserve">Guaranteed delivery 2 hrs + drive time with member cover-cost/termination remedies; MFN-style competitive pricing warranty; member conversion price protection 180 days</t>
  </si>
  <si>
    <t xml:space="preserve">Legacy Freedom Medical Premier bed/surface rental agreement. Expired 2/28/2025; kept as reference.</t>
  </si>
  <si>
    <t xml:space="preserve">GPO/Premier/Premier Rental - PP-NS-1662</t>
  </si>
  <si>
    <t xml:space="preserve">Premier_PP-NS-1662_Exp_11_30_2025.pdf</t>
  </si>
  <si>
    <t xml:space="preserve">2022-12-01</t>
  </si>
  <si>
    <t xml:space="preserve">2025-11-30</t>
  </si>
  <si>
    <t xml:space="preserve">Premier without cause, 90 days notice (may also delete services on 90 days notice)</t>
  </si>
  <si>
    <t xml:space="preserve">Exhibit A-3 net price list; Tiers 1-5 by commitment (T1 none, T2 &gt;=50%, T3 &gt;=70% or AMC, T4 &gt;=80%, T5 &gt;=90%)</t>
  </si>
  <si>
    <t xml:space="preserve">No increases during term</t>
  </si>
  <si>
    <t xml:space="preserve">3% Premier admin fee, monthly; value adds/rebates per Exhibit I</t>
  </si>
  <si>
    <t xml:space="preserve">Tier commitments by % of annual spend; no minimum order</t>
  </si>
  <si>
    <t xml:space="preserve">Net 30 from receipt of invoice; EFT accepted</t>
  </si>
  <si>
    <t xml:space="preserve">MFN vs any customer/GPO (deemed modified); 2 hrs + drive time delivery guarantee with failure-to-supply remedies; insurance CGL $5M/$10M, cyber $5M; admin fee liquidated damages</t>
  </si>
  <si>
    <t xml:space="preserve">Premier peak-use rental (MME) GPO agreement. Superseded for CommonSpirit by CSH-MM-156; Mount Sinai 2025 agreement still references it as master. Successor PP-NS-2139 (exp 11/30/2028) is on file.</t>
  </si>
  <si>
    <t xml:space="preserve">Advocate Aurora Health (WI0013, parent AQ9425)</t>
  </si>
  <si>
    <t xml:space="preserve">US Med-Equip PP-NS-1662_Tier 3 AdvocateAurora.pdf</t>
  </si>
  <si>
    <t xml:space="preserve">2022-12-01 (signed ~10/2022)</t>
  </si>
  <si>
    <t xml:space="preserve">3 years (contract dates)</t>
  </si>
  <si>
    <t xml:space="preserve">Premier Peak Use Rental tier pricing; Tier 3 (Health-System tier) designated</t>
  </si>
  <si>
    <t xml:space="preserve">Members may be eligible for additional discounts/rebates per Exhibit I</t>
  </si>
  <si>
    <t xml:space="preserve">Tier 3 health-system commitment (OCR unclear); Tier 2 &gt;=50%, Tier 4 &gt;=80%, Tier 5 &gt;=90%; 30-day cure before tier reduction</t>
  </si>
  <si>
    <t xml:space="preserve">Premier PMDF designating Advocate Aurora at Tier 3 with aggregation; primary distributor Owens &amp; Minor. Contract dates end 11/30/2025; confirm whether PP-NS-1662 was extended.</t>
  </si>
  <si>
    <t xml:space="preserve">ProMedica</t>
  </si>
  <si>
    <t xml:space="preserve">ProMedica Health System, Inc.</t>
  </si>
  <si>
    <t xml:space="preserve">Expired/ProMedica Health</t>
  </si>
  <si>
    <t xml:space="preserve">ProMedica Health System_Exp_7_31_24.pdf</t>
  </si>
  <si>
    <t xml:space="preserve">Respiratory, MME Rental, Asset Mgmt/On-site</t>
  </si>
  <si>
    <t xml:space="preserve">Martab Medical</t>
  </si>
  <si>
    <t xml:space="preserve">2023-07-31 (extended to 2024-07-31 by amendment)</t>
  </si>
  <si>
    <t xml:space="preserve">Not stated in base agreement (extended by separate amendment)</t>
  </si>
  <si>
    <t xml:space="preserve">Either party, 90 days written notice; 30-day cure if breach-based</t>
  </si>
  <si>
    <t xml:space="preserve">Daily rates capped at 30 days (e.g., V60 BiPAP $19.80/day, $594 cap; PB840 $33.30/$999; Avea $44.10/$1,323); 3-day minimum; RFID tracking $395/visit + $25/asset</t>
  </si>
  <si>
    <t xml:space="preserve">Pricing firm for term</t>
  </si>
  <si>
    <t xml:space="preserve">Not stated; meet-competition clause: Martab must match bona fide lower competitor pricing for remainder of term</t>
  </si>
  <si>
    <t xml:space="preserve">Net 60 from receipt of undisputed invoice</t>
  </si>
  <si>
    <t xml:space="preserve">Customer liable for loss/damage in its possession; Martab liability capped at 150% of payments received; mutual indemnity; 2-hr delivery standard; CGL $1M + $3M excess</t>
  </si>
  <si>
    <t xml:space="preserve">Martab Medical agreement #413166 covering 14 ProMedica hospitals in OH/MI, primarily ventilators/BiPAP, with MarTRAK portal. Includes competitive-match price protection.</t>
  </si>
  <si>
    <t xml:space="preserve">ProMedica Amendment_Exp_07_31_2024.pdf</t>
  </si>
  <si>
    <t xml:space="preserve">Respiratory, MME Rental</t>
  </si>
  <si>
    <t xml:space="preserve">US Med-Equip (Martab Medical), LLC</t>
  </si>
  <si>
    <t xml:space="preserve">2023-08-01</t>
  </si>
  <si>
    <t xml:space="preserve">2024-07-31</t>
  </si>
  <si>
    <t xml:space="preserve">1-year extension</t>
  </si>
  <si>
    <t xml:space="preserve">Per underlying agreement (either party 90 days)</t>
  </si>
  <si>
    <t xml:space="preserve">Products and pricing per Martab agreement #41366/#413166 carried forward</t>
  </si>
  <si>
    <t xml:space="preserve">Per underlying agreement (Net 60)</t>
  </si>
  <si>
    <t xml:space="preserve">Extends Martab Medical Equipment Rental Pricing Agreement (orig. 8/1/2020) one year. Agreement number OCR'd inconsistently (#41366 vs #413166).</t>
  </si>
  <si>
    <t xml:space="preserve">Ranken Jordan</t>
  </si>
  <si>
    <t xml:space="preserve">The Ranken-Jordan Home for Convalescent Crippled Children</t>
  </si>
  <si>
    <t xml:space="preserve">Expired/Ranken Jordan Home</t>
  </si>
  <si>
    <t xml:space="preserve">Ranken Jordan SH_Exp_10_24_2019_Auto_2020.pdf</t>
  </si>
  <si>
    <t xml:space="preserve">2018-10-23</t>
  </si>
  <si>
    <t xml:space="preserve">2019-10-23 initial; auto-renewed 1 yr (filename: 2020)</t>
  </si>
  <si>
    <t xml:space="preserve">Auto-renews for an additional 1-yr term</t>
  </si>
  <si>
    <t xml:space="preserve">Either party without cause on 90 days written notice</t>
  </si>
  <si>
    <t xml:space="preserve">Monthly rental fees per Attachment A; 25% equity option of monthly rental toward purchase</t>
  </si>
  <si>
    <t xml:space="preserve">Primary provider: 90% of aggregated annual rental; non-compliance after 30-day notice moves customer to list pricing</t>
  </si>
  <si>
    <t xml:space="preserve">Rent due 1st of month; invoiced 20 days prior</t>
  </si>
  <si>
    <t xml:space="preserve">Customer liable for loss/damage and abuse repairs ($125/hr); full new replacement cost if not surrendered; customer cannot assign</t>
  </si>
  <si>
    <t xml:space="preserve">Small pediatric facility rental (~$6.4K proposal; 2-yr commitment noted on quote). Folder Expired.</t>
  </si>
  <si>
    <t xml:space="preserve">Redmond Regional Medical Center</t>
  </si>
  <si>
    <t xml:space="preserve">Redmond Park Hospital, LLC d/b/a Redmond Regional Medical Center</t>
  </si>
  <si>
    <t xml:space="preserve">Expired/Redmond Regional</t>
  </si>
  <si>
    <t xml:space="preserve">Redmond MME Exp 3_31_2023_LR.pdf</t>
  </si>
  <si>
    <t xml:space="preserve">2021-10-01</t>
  </si>
  <si>
    <t xml:space="preserve">2023-03-31</t>
  </si>
  <si>
    <t xml:space="preserve">~18 months</t>
  </si>
  <si>
    <t xml:space="preserve">Either party on 60 days no-fault written notice</t>
  </si>
  <si>
    <t xml:space="preserve">Monthly/daily rates per Attachment A price file; 25% equity discount on monthly rental up to 12 months toward purchase</t>
  </si>
  <si>
    <t xml:space="preserve">Customer responsible for loss/damage and abuse repairs; full new-unit cost if not returned in good condition; customer pays enforcement/collection costs; USME CGL $1M/$3M; Texas law, Harris County venue</t>
  </si>
  <si>
    <t xml:space="preserve">Contract # 082021RRMC. Fixed-end agreement with no renewal; expired 3/31/2023.</t>
  </si>
  <si>
    <t xml:space="preserve">Rio Vista Post Acute</t>
  </si>
  <si>
    <t xml:space="preserve">Sunrise Mountain Healthcare, Inc. dba Rio Vista Post Acute and Rehabilitation Center</t>
  </si>
  <si>
    <t xml:space="preserve">Expired/Rio Vista</t>
  </si>
  <si>
    <t xml:space="preserve">Rio Vista Post Acute_MME_BTS_Exp_09_18_2022_Auto_2024_LR.pdf</t>
  </si>
  <si>
    <t xml:space="preserve">MME Rental, Respiratory, Other</t>
  </si>
  <si>
    <t xml:space="preserve">2019-09-19</t>
  </si>
  <si>
    <t xml:space="preserve">2024-09-18 (after two 12-month renewals; initial term ended 2022-09-18)</t>
  </si>
  <si>
    <t xml:space="preserve">Exhibit A rental schedule (daily/monthly, e.g., vents, NPWT $50-55/day incl. supplies); firm 36 months</t>
  </si>
  <si>
    <t xml:space="preserve">Firm for 36 months; not stated thereafter</t>
  </si>
  <si>
    <t xml:space="preserve">Customer uses FMI as primary medical equipment rental provider</t>
  </si>
  <si>
    <t xml:space="preserve">Net 30 from invoice; 1.5%/month on invoices 60+ days past due; no offset; disputes within 90 days</t>
  </si>
  <si>
    <t xml:space="preserve">Customer liable for loss/damage at current market value; FMI liability limited to repair/replace/refund; mutual indemnity; arbitration</t>
  </si>
  <si>
    <t xml:space="preserve">Legacy Freedom Medical post-acute agreement (respiratory, NPWT, monitoring). Renewal options exhausted 9/18/2024; folder marks expired.</t>
  </si>
  <si>
    <t xml:space="preserve">Saint Luke's Health System</t>
  </si>
  <si>
    <t xml:space="preserve">Saint Luke's Health System, Inc.</t>
  </si>
  <si>
    <t xml:space="preserve">St Lukes amendment Exp11_27_23.pdf</t>
  </si>
  <si>
    <t xml:space="preserve">Vizient CE7073 (Tier 2)</t>
  </si>
  <si>
    <t xml:space="preserve">2023-06-28</t>
  </si>
  <si>
    <t xml:space="preserve">Not stated (filename: 2023-11-27)</t>
  </si>
  <si>
    <t xml:space="preserve">6-month rental commitment</t>
  </si>
  <si>
    <t xml:space="preserve">Rental ends on pickup request after committed period</t>
  </si>
  <si>
    <t xml:space="preserve">Not stated; Maquet Servo UE ventilators at $5,661/month each (2 units)</t>
  </si>
  <si>
    <t xml:space="preserve">6-month commitment required</t>
  </si>
  <si>
    <t xml:space="preserve">Per Vizient agreement</t>
  </si>
  <si>
    <t xml:space="preserve">USME responsible for maintenance except customer abuse</t>
  </si>
  <si>
    <t xml:space="preserve">Short-term ventilator rental amendment under Vizient CE7073 Tier 2. Commitment period ended late 2023.</t>
  </si>
  <si>
    <t xml:space="preserve">Acuity Healthcare, LP (on behalf of subsidiaries/affiliates)</t>
  </si>
  <si>
    <t xml:space="preserve">Expired/Select Medical - Acuity</t>
  </si>
  <si>
    <t xml:space="preserve">Select Medical Acuity_BTS_Exp_9_30_22_Auto_2024_LR.pdf</t>
  </si>
  <si>
    <t xml:space="preserve">2024-09-30 (initial 2022-09-30 + two 12-month renewals)</t>
  </si>
  <si>
    <t xml:space="preserve">Daily/monthly rental rates per Exhibit A</t>
  </si>
  <si>
    <t xml:space="preserve">Net 30; FMI may suspend on 5 days notice; no offset; billing disputes within 90 days</t>
  </si>
  <si>
    <t xml:space="preserve">Customer liable for loss/damage, billed replacement cost; mutual indemnity; FMI liability limited to repair/replace/refund; CGL $1M/$2M</t>
  </si>
  <si>
    <t xml:space="preserve">Legacy Freedom Medical agreement with Acuity (Select Medical). Renewal options exhausted 9/30/2024; folder marks Expired.</t>
  </si>
  <si>
    <t xml:space="preserve">Springhill Medical Center</t>
  </si>
  <si>
    <t xml:space="preserve">Springhill Medical Center_BTS_Exp_12_14_2023_Auto_2025_LR.pdf</t>
  </si>
  <si>
    <t xml:space="preserve">2018-12-15</t>
  </si>
  <si>
    <t xml:space="preserve">2023-12-14 (renewals, if exercised, ran to 2025-12-14)</t>
  </si>
  <si>
    <t xml:space="preserve">5 years (Term section; termination clause says 36 months)</t>
  </si>
  <si>
    <t xml:space="preserve">Either party, without cause, 60 days written notice</t>
  </si>
  <si>
    <t xml:space="preserve">Daily rates per Exhibit A (Barton chairs, Rotec low beds, Comfort XMS)</t>
  </si>
  <si>
    <t xml:space="preserve">Primary BTS provider: 90% of specialty bed/surface rentals; early cancel or non-compliance lets FMI bill difference vs. GPO access pricing back to effective date</t>
  </si>
  <si>
    <t xml:space="preserve">Internal conflict: 5-year term vs. '36 months' in termination clause. Both renewal options exhausted 12/14/2025; not in Expired folder, so confirm whether a replacement agreement exists.</t>
  </si>
  <si>
    <t xml:space="preserve">Stanford Medicine Children's Health</t>
  </si>
  <si>
    <t xml:space="preserve">Lucile Salter Packard Children's Hospital at Stanford</t>
  </si>
  <si>
    <t xml:space="preserve">Lucile Salter</t>
  </si>
  <si>
    <t xml:space="preserve">Lucile Salter Packard Childrens Hospital of Stanford_Exp_07_31_2026_LR.pdf</t>
  </si>
  <si>
    <t xml:space="preserve">2026-07-31</t>
  </si>
  <si>
    <t xml:space="preserve">Either party without cause on 60 days written notice; 60-day cure for breach</t>
  </si>
  <si>
    <t xml:space="preserve">Monthly rental rates per Attachment A (incl. PM and repair); Contract #KS102023LR</t>
  </si>
  <si>
    <t xml:space="preserve">Fixed 2 years; then once per contract year up to lesser of 5% or prior-year Medical Care CPI-U, 30 days notice</t>
  </si>
  <si>
    <t xml:space="preserve">Net 30 from invoice; 1%/month late interest (good-faith disputes excluded); strict Stanford invoice requirements (PO per invoice)</t>
  </si>
  <si>
    <t xml:space="preserve">Delivery 24/7 within 4 hours; replacement within 1 business day; customer pays depreciated value for lost/stolen units; CA law; CGL $1M/$3M plus 2-year tail</t>
  </si>
  <si>
    <t xml:space="preserve">3-year term ended 7/31/2026 with no renewal clause; confirm whether a renewal or replacement was signed or service is continuing as holdover. Includes GOUSME portal and PM tracking.</t>
  </si>
  <si>
    <t xml:space="preserve">State of California (CDCR)</t>
  </si>
  <si>
    <t xml:space="preserve">California Dept. of Corrections/Older - keep as reference</t>
  </si>
  <si>
    <t xml:space="preserve">CDCR_MME_BTS_Exp_6_30_2026_LR.pdf</t>
  </si>
  <si>
    <t xml:space="preserve">Direct (State Agreement 22-00270; Solicitation SD22-00139)</t>
  </si>
  <si>
    <t xml:space="preserve">2023-07-01</t>
  </si>
  <si>
    <t xml:space="preserve">State may terminate on 30 days written notice; Contractor may terminate only if State substantially fails to perform; immediate for cause</t>
  </si>
  <si>
    <t xml:space="preserve">Fixed rates per Exhibit B-1 Rate Sheet (daily rates, e.g. bariatric bed frame $55.91/day); NTE $4,444,783.14 incl. $10K repair and $100K lost-equipment reserves</t>
  </si>
  <si>
    <t xml:space="preserve">Not stated (amendment only; CalHR benefit-rate changes trigger amendment)</t>
  </si>
  <si>
    <t xml:space="preserve">As-needed basis; no volume guarantee; State may reduce funds by amendment</t>
  </si>
  <si>
    <t xml:space="preserve">Paid in arrears per CA Gov. Code 927 (Prompt Payment Act)</t>
  </si>
  <si>
    <t xml:space="preserve">State not liable for loss/damage except its negligence; lost/unrepairable units get 50% of rental paid applied to buyout; 24-hr delivery response; DVBE subcontract obligations; non-appropriation cancellation</t>
  </si>
  <si>
    <t xml:space="preserve">Statewide therapeutic patient care equipment rental (beds, surfaces, bariatric, some MME) across CDCR institutions, 24/7 service, repairs M-F. Expired 6/30/2026; folder says 'Older - keep as reference' (likely superseded by newer award).</t>
  </si>
  <si>
    <t xml:space="preserve">State of Louisiana/Expired - Reference Agreement</t>
  </si>
  <si>
    <t xml:space="preserve">State of Louisiana_Emergency BTS_Exp_4_30_25.pdf</t>
  </si>
  <si>
    <t xml:space="preserve">Direct (State contract 4400029974)</t>
  </si>
  <si>
    <t xml:space="preserve">2024-06-28</t>
  </si>
  <si>
    <t xml:space="preserve">2025-04-30</t>
  </si>
  <si>
    <t xml:space="preserve">~10 months</t>
  </si>
  <si>
    <t xml:space="preserve">Two 12-month extensions at State's option with contractor acceptance; max 36 months</t>
  </si>
  <si>
    <t xml:space="preserve">Daily bed rental per Attachment B price sheet (e.g., standard bed $33.99/day, bariatric bed $63.16/day); delivered pricing incl. freight/setup; $125 fees</t>
  </si>
  <si>
    <t xml:space="preserve">Fixed: extensions at same prices</t>
  </si>
  <si>
    <t xml:space="preserve">Non-exclusive; no guaranteed quantities; 24+ beds/day availability, 50+ capacity committed</t>
  </si>
  <si>
    <t xml:space="preserve">Per unit price on invoice to using agency (terms not stated)</t>
  </si>
  <si>
    <t xml:space="preserve">Indemnify State broadly; CGL $1M/$2M, auto $1M, WC/EL $1M; State additional insured; A-:VI insurers</t>
  </si>
  <si>
    <t xml:space="preserve">Statewide emergency contingency contract (Southwest region) for hospital bed rental during Governor-declared emergencies. Folder marks it Expired/Reference; no evidence of extension.</t>
  </si>
  <si>
    <t xml:space="preserve">State of Louisiana, Division of Administration, Office of State Procurement</t>
  </si>
  <si>
    <t xml:space="preserve">State of La BTS Rental Renewal_USME Exp 4_30_2026.pdf</t>
  </si>
  <si>
    <t xml:space="preserve">Direct (State contract 4400029974, T-92821)</t>
  </si>
  <si>
    <t xml:space="preserve">US Med-Equip Inc.</t>
  </si>
  <si>
    <t xml:space="preserve">2025-05-01 (renewal period); USME offer signed 2025-03-03</t>
  </si>
  <si>
    <t xml:space="preserve">12-month renewal</t>
  </si>
  <si>
    <t xml:space="preserve">State option to renew; this letter is inquiry only, not a State offer</t>
  </si>
  <si>
    <t xml:space="preserve">State may terminate if firearm non-discrimination certification is false</t>
  </si>
  <si>
    <t xml:space="preserve">Original contract prices/discounts carried forward</t>
  </si>
  <si>
    <t xml:space="preserve">None (renewal at original prices)</t>
  </si>
  <si>
    <t xml:space="preserve">Adds La. R.S. 39:1602.2 firearm entity non-discrimination certification</t>
  </si>
  <si>
    <t xml:space="preserve">Renewal inquiry for 'Emergency Rental of Hospital Beds - SW'; USME offered to renew 5/1/2025-4/30/2026. Folder marks expired/reference.</t>
  </si>
  <si>
    <t xml:space="preserve">State of Louisiana_Emergency BTS_Exp_4_30_26.pdf</t>
  </si>
  <si>
    <t xml:space="preserve">2025-05-01 (renewal period); contract valid from 2024-06-28</t>
  </si>
  <si>
    <t xml:space="preserve">12 months (renewal period)</t>
  </si>
  <si>
    <t xml:space="preserve">One additional 12-month extension at State option with contractor acceptance; 36-month max</t>
  </si>
  <si>
    <t xml:space="preserve">State for convenience on 30 days written notice; State for cause on 30 days</t>
  </si>
  <si>
    <t xml:space="preserve">Fixed unit prices per Attachment B: hospital bed $33.99/day; bariatric bed $63.16/day; delivery detainment $125/hr; re-routing $125 flat</t>
  </si>
  <si>
    <t xml:space="preserve">Fixed (extension at same prices)</t>
  </si>
  <si>
    <t xml:space="preserve">Non-exclusive; no quantities guaranteed; contractor must supply 24+ beds/day, deliver within stated hours</t>
  </si>
  <si>
    <t xml:space="preserve">Per State unit-price invoicing; terms not stated</t>
  </si>
  <si>
    <t xml:space="preserve">Broad indemnity of State; CGL $1M/$2M, auto $1M, WC/EL $1M; State additional insured; A-:VI insurers; non-appropriation termination</t>
  </si>
  <si>
    <t xml:space="preserve">Statewide emergency contingency bed rental, activated only on Governor-declared emergency via purchase order. Expired 4/30/2026 unless the optional 12-month extension was executed.</t>
  </si>
  <si>
    <t xml:space="preserve">Surprise Health</t>
  </si>
  <si>
    <t xml:space="preserve">Ludden Healthcare, Inc. d/b/a Surprise Health and Rehabilitation Center</t>
  </si>
  <si>
    <t xml:space="preserve">Expired/Surprise Health</t>
  </si>
  <si>
    <t xml:space="preserve">Surprise Health_MME_BTS_Exp_9-15-2022_Auto2024_LR.pdf</t>
  </si>
  <si>
    <t xml:space="preserve">2019-09-16</t>
  </si>
  <si>
    <t xml:space="preserve">2022-09-15 (initial); 2024-09-15 after two 12-month renewals</t>
  </si>
  <si>
    <t xml:space="preserve">Either party without cause on 30 days written notice; for cause with 30-day cure</t>
  </si>
  <si>
    <t xml:space="preserve">Daily/monthly rates per Exhibit A (MME, bariatric surfaces and bed frames); NPWT bill rate $50/day (XLR8) or $55/day (XLR8+) incl. supplies</t>
  </si>
  <si>
    <t xml:space="preserve">Customer responsible for loss/damage at current market value; FMI liability limited to repair/replace or refund; mutual indemnity; arbitration</t>
  </si>
  <si>
    <t xml:space="preserve">Legacy Freedom Medical agreement with a rehab facility; includes NPWT (Genadyne) program with foam kits/canisters. Renewal options exhausted 9/15/2024; filed under Expired.</t>
  </si>
  <si>
    <t xml:space="preserve">Tenet Healthcare Corporation</t>
  </si>
  <si>
    <t xml:space="preserve">Tenet Healthcare/Expired - Reference Agreement</t>
  </si>
  <si>
    <t xml:space="preserve">Tenet Health Rebate Agreement_Exp_9_30_2024.pdf</t>
  </si>
  <si>
    <t xml:space="preserve">2021-07-01</t>
  </si>
  <si>
    <t xml:space="preserve">Either party, without cause, end of calendar quarter with 30 days notice</t>
  </si>
  <si>
    <t xml:space="preserve">Per HealthTrust Equipment Rental Agreement 7093</t>
  </si>
  <si>
    <t xml:space="preserve">3% quarterly rebate on qualified spend, paid within 45 days of quarter end</t>
  </si>
  <si>
    <t xml:space="preserve">80% of annual MME rental spend in USME service areas; new-area facilities must convert within 60 days</t>
  </si>
  <si>
    <t xml:space="preserve">30 days DSO required or quarterly rebate forfeited</t>
  </si>
  <si>
    <t xml:space="preserve">Supplements HPG-7093 for Tenet facilities (Exhibit B). Filename says exp 9/30/2024 but text says 7/31/2024. Superseded by 2025 Tenet services agreement.</t>
  </si>
  <si>
    <t xml:space="preserve">The Terraces of Phoenix</t>
  </si>
  <si>
    <t xml:space="preserve">Expired/The Terraces of Phoenix</t>
  </si>
  <si>
    <t xml:space="preserve">The Terraces of Phoenix_MME_BTS_Exp_12_31_2022_Auto_2024.pdf</t>
  </si>
  <si>
    <t xml:space="preserve">2022-12-31 initial; latest 2024-12-31 with renewals</t>
  </si>
  <si>
    <t xml:space="preserve">Fixed daily/monthly rates per Exhibit A (vents, BiPAP); NPWT bill rate $50-$55/day incl. supplies</t>
  </si>
  <si>
    <t xml:space="preserve">Primary rental provider (no % stated)</t>
  </si>
  <si>
    <t xml:space="preserve">Net 30; 1.5%/month on invoices 60+ days past due</t>
  </si>
  <si>
    <t xml:space="preserve">Customer bears loss/damage; lost equipment at current market value; FMI liability limited; mutual indemnity; arbitration clause</t>
  </si>
  <si>
    <t xml:space="preserve">Senior living/post-acute account; includes Genadyne NPWT program with foam kits and canisters.</t>
  </si>
  <si>
    <t xml:space="preserve">Shands Teaching Hospital and Clinics, Inc. (UF Health Shands, Gainesville)</t>
  </si>
  <si>
    <t xml:space="preserve">UF Health/Expired - Reference Agreement</t>
  </si>
  <si>
    <t xml:space="preserve">UF Health_Signed Master Agreement_102416.pdf</t>
  </si>
  <si>
    <t xml:space="preserve">Direct (Vendor master terms; Owens &amp; Minor designated distributor)</t>
  </si>
  <si>
    <t xml:space="preserve">2016-10-24</t>
  </si>
  <si>
    <t xml:space="preserve">2019-10-24 (initial; one 1-yr extension possible to 2020-10-24)</t>
  </si>
  <si>
    <t xml:space="preserve">One 1-yr extension by mutual written agreement 30 days before termination</t>
  </si>
  <si>
    <t xml:space="preserve">Per Exhibit (1) product/contract price list (blank/illegible in scan)</t>
  </si>
  <si>
    <t xml:space="preserve">Fixed for term; increases only by mutual written agreement</t>
  </si>
  <si>
    <t xml:space="preserve">Net 30 from invoice receipt; 1.5% discount if paid within 15 days</t>
  </si>
  <si>
    <t xml:space="preserve">Vendor warranties (reconditioned, defect-free goods); patent indemnity; title passes on payment/acceptance (purchase-oriented terms); FOB destination; confidentiality breach allows immediate termination</t>
  </si>
  <si>
    <t xml:space="preserve">UF Health Shands supply chain master terms and conditions signed 10/24/2016, generic purchase-oriented T&amp;Cs applied to USME. Filed as Expired/Reference.</t>
  </si>
  <si>
    <t xml:space="preserve">US Dept of Veterans Affairs</t>
  </si>
  <si>
    <t xml:space="preserve">Veteran Affairs/Expired - Reference Agreement</t>
  </si>
  <si>
    <t xml:space="preserve">Veteran Affair_ShortTerm_BTS_Exp_9_14_2024.pdf</t>
  </si>
  <si>
    <t xml:space="preserve">2024-03-15 (modification P00003; contract from 2019-03-15)</t>
  </si>
  <si>
    <t xml:space="preserve">2024-09-14</t>
  </si>
  <si>
    <t xml:space="preserve">None (short-term extension)</t>
  </si>
  <si>
    <t xml:space="preserve">SF-30 bilateral mod extending FSS contract (SIN 65IIA) from 3/14/2024 to 9/14/2024. Folder marks Expired/Reference.</t>
  </si>
  <si>
    <t xml:space="preserve">Valley Children's Hospital (Valley Children's Healthcare), Madera, CA</t>
  </si>
  <si>
    <t xml:space="preserve">Valley Childrens/Expired - Reference Agreements</t>
  </si>
  <si>
    <t xml:space="preserve">Valley Childrens Master AgreementExp_12_2023.pdf</t>
  </si>
  <si>
    <t xml:space="preserve">Vizient CE2531 (referenced on PO)</t>
  </si>
  <si>
    <t xml:space="preserve">2017-06-01</t>
  </si>
  <si>
    <t xml:space="preserve">2020-06-01 (per text; filename says 12/2023)</t>
  </si>
  <si>
    <t xml:space="preserve">Customer option for one additional 1-yr term with 60 days written notice</t>
  </si>
  <si>
    <t xml:space="preserve">Customer-only without cause, 90 days notice; customer for cause after 30-day cure; immediate on force majeure</t>
  </si>
  <si>
    <t xml:space="preserve">Contracted rates per Exhibit A Rental Equipment Pricing Schedule (MME incl. respiratory/CPAP); vendor agreement LO-FREEDOM MEDICAL 17-20</t>
  </si>
  <si>
    <t xml:space="preserve">FM first-call provider for all MME; customer commits min 90% of rentals in Exhibit A categories; if breached/cancelled early FM may charge list or GPO list price; FM exclusive service provider</t>
  </si>
  <si>
    <t xml:space="preserve">Net 30 from invoice date</t>
  </si>
  <si>
    <t xml:space="preserve">Mutual indemnity; insurance professional and GL $1M per occurrence/aggregate, additional insured; FM may not assign without consent</t>
  </si>
  <si>
    <t xml:space="preserve">Legacy FMI rental agreement plus Valley Children's purchase agreement/PO 1855-0001. Text term ends 6/1/2020 (max 6/1/2021 with option); filename's 12/2023 expiry not supported by this document, likely extended by separate paperwork.</t>
  </si>
  <si>
    <t xml:space="preserve">Valley Childrens Extension_Exp_12_2023.pdf</t>
  </si>
  <si>
    <t xml:space="preserve">Direct (references Vizient supplier pricing benchmarks)</t>
  </si>
  <si>
    <t xml:space="preserve">2021-01-01 (amendment dated 2020-12-17; original agreement 2017-06-01)</t>
  </si>
  <si>
    <t xml:space="preserve">2023-12-31</t>
  </si>
  <si>
    <t xml:space="preserve">Per Section 9.1 of original Exhibit B; FMI gets first right to match competitive rates before termination notice</t>
  </si>
  <si>
    <t xml:space="preserve">Per original Exhibit A</t>
  </si>
  <si>
    <t xml:space="preserve">Customer confidentiality on FMI pricing/reports</t>
  </si>
  <si>
    <t xml:space="preserve">One-page amendment extending legacy Freedom Medical equipment rental agreement through 12/31/2023 and adding a right-to-match clause. Expired.</t>
  </si>
  <si>
    <t xml:space="preserve">Vanderbilt Health / Vizient</t>
  </si>
  <si>
    <t xml:space="preserve">Vanderbilt Health PCo/Expired - Reference Agreement</t>
  </si>
  <si>
    <t xml:space="preserve">Vanderbilt_Vizient_MME_Exp_10_31_25.pdf</t>
  </si>
  <si>
    <t xml:space="preserve">VHPC Supplier Agreement (admin fees per USME Vizient agreement)</t>
  </si>
  <si>
    <t xml:space="preserve">Fixed prices per Exhibit A; Exhibit E VHPC Conversion and Retention Rebate</t>
  </si>
  <si>
    <t xml:space="preserve">Fixed for term; unauthorized increase = material breach; must lower price per market assessments</t>
  </si>
  <si>
    <t xml:space="preserve">Admin fee paid to Vizient per USME-Vizient agreement; VHPC Conversion &amp; Retention Rebate (Exhibit E, % not stated in text)</t>
  </si>
  <si>
    <t xml:space="preserve">No minimum order; non-exclusive (VHPC may add MWBE/innovative tech suppliers)</t>
  </si>
  <si>
    <t xml:space="preserve">Net 30 from invoice receipt</t>
  </si>
  <si>
    <t xml:space="preserve">MFN: pricing at least as good as comparable customers, any better member pricing must extend to all; insurance CGL $1M/$2M, umbrella $5M; monthly fee/rebate reporting</t>
  </si>
  <si>
    <t xml:space="preserve">Regional GPO agreement for Vanderbilt network members. Expired 10/31/2025 per term; folder marks it reference.</t>
  </si>
  <si>
    <t xml:space="preserve">Vanderbilt Health Purchasing Collaborative</t>
  </si>
  <si>
    <t xml:space="preserve">VHPC_amendment_BTS_Exp_9_30_2025.pdf</t>
  </si>
  <si>
    <t xml:space="preserve">Direct (VHPC Supplier Agreement)</t>
  </si>
  <si>
    <t xml:space="preserve">2023-09-01</t>
  </si>
  <si>
    <t xml:space="preserve">Not stated (filename: 2025-09-30)</t>
  </si>
  <si>
    <t xml:space="preserve">Not stated (Supplier Agreement effective 2022-11-01)</t>
  </si>
  <si>
    <t xml:space="preserve">Adds Exhibit F products and pricing (not included in text)</t>
  </si>
  <si>
    <t xml:space="preserve">Short amendment adding Exhibit F products/pricing to VHPC Supplier Agreement; pricing exhibit not captured. Filed as Expired/Reference.</t>
  </si>
  <si>
    <t xml:space="preserve">Vibra Healthcare</t>
  </si>
  <si>
    <t xml:space="preserve">Ballard Rehabilitation Hospital (Vibra)</t>
  </si>
  <si>
    <t xml:space="preserve">Vibra_Ballard_HGP_SIP_Exp_9_20_2025_LR.pdf</t>
  </si>
  <si>
    <t xml:space="preserve">Freedom Medical Inc (vendor of record); signed by US Med-Equip</t>
  </si>
  <si>
    <t xml:space="preserve">Not legible (OCR garbled); HPG-77980 dated 2022-10-01</t>
  </si>
  <si>
    <t xml:space="preserve">Not stated (filename: 2025-09-20)</t>
  </si>
  <si>
    <t xml:space="preserve">Not stated (Incentive Period)</t>
  </si>
  <si>
    <t xml:space="preserve">Facility may exit on 30 days notice, but forfeits rebates if without cause</t>
  </si>
  <si>
    <t xml:space="preserve">8% rebate on all Covered Product purchases in Incentive Period if spend exceeds Baseline (prior 12-mo spend); paid to HealthTrust within 30 days of period end</t>
  </si>
  <si>
    <t xml:space="preserve">Commitment to increase spend above Baseline; supply failure still obligates USME to pay 8% on projected spend</t>
  </si>
  <si>
    <t xml:space="preserve">Not stated; facility must be current on payables to earn rebate</t>
  </si>
  <si>
    <t xml:space="preserve">Supply-failure clause obligates rebate on projected spend</t>
  </si>
  <si>
    <t xml:space="preserve">HealthTrust growth rebate acknowledgement under FMI HPG-77980. Covered Products, baseline and incentive period dates illegible.</t>
  </si>
  <si>
    <t xml:space="preserve">Rehabilitation Hospital of Northern Arizona</t>
  </si>
  <si>
    <t xml:space="preserve">Vibra Northern Arizona_HPG_SIP_Exp9_30_2025_LR.pdf</t>
  </si>
  <si>
    <t xml:space="preserve">Facility, 30 days notice (no rebates paid if facility terminates)</t>
  </si>
  <si>
    <t xml:space="preserve">8% rebate on all Covered Product purchases if above Baseline ($0.00); paid to HealthTrust within 30 days after incentive period</t>
  </si>
  <si>
    <t xml:space="preserve">Commitment to increase spend vs. baseline; must be current on AP to earn rebate</t>
  </si>
  <si>
    <t xml:space="preserve">Legacy FMI growth-rebate acknowledgement; Covered Products field blank and vendor signature missing. Filename says Vibra; document names Rehabilitation Hospital of Northern Arizona.</t>
  </si>
  <si>
    <t xml:space="preserve">Vibra Rehabilitation Hospital of Denver LLC</t>
  </si>
  <si>
    <t xml:space="preserve">Vibra_Denver_HPG_SIP_Exp_12_2026_LR.pdf</t>
  </si>
  <si>
    <t xml:space="preserve">US Med-Equip LLC (signatory); form names Freedom Medical Inc as Vendor</t>
  </si>
  <si>
    <t xml:space="preserve">2025-09-30 (incentive period end)</t>
  </si>
  <si>
    <t xml:space="preserve">Facility may terminate on 30 days notice without penalty (no rebates paid if terminated without cause)</t>
  </si>
  <si>
    <t xml:space="preserve">HPG-77980 pricing; growth rebate program</t>
  </si>
  <si>
    <t xml:space="preserve">8% rebate on Covered Product purchases above baseline ($0), paid to HealthTrust within 30 days after incentive period</t>
  </si>
  <si>
    <t xml:space="preserve">Facility commits to increase spend vs baseline; must be current on AP to earn rebate</t>
  </si>
  <si>
    <t xml:space="preserve">Vendor still owes 8% rebate on projected spend if supply failure</t>
  </si>
  <si>
    <t xml:space="preserve">HPG growth rebate acknowledgement under FMI's HPG-77980. Filename says Exp 12/2026 but text incentive period ends 9/30/2025; folder Expired.</t>
  </si>
  <si>
    <t xml:space="preserve">Mountain Valley Regional Rehabilitation Hospital (Vibra, Prescott AZ)</t>
  </si>
  <si>
    <t xml:space="preserve">Vibra Prescott_HPG_SIP_Exp_9_30_2025_LR.pdf</t>
  </si>
  <si>
    <t xml:space="preserve">Freedom Medical, Inc. (signed by US Med-Equip LLC)</t>
  </si>
  <si>
    <t xml:space="preserve">2022-10-01 (OCR unclear)</t>
  </si>
  <si>
    <t xml:space="preserve">2025-09-30 (OCR unclear)</t>
  </si>
  <si>
    <t xml:space="preserve">HealthTrust HPG-77980 contract pricing; baseline not filled in</t>
  </si>
  <si>
    <t xml:space="preserve">8% rebate on Covered Product purchases above baseline, paid to HealthTrust within 30 days after incentive period</t>
  </si>
  <si>
    <t xml:space="preserve">Facility commits to increase spend vs. baseline; no rebate if commitment missed</t>
  </si>
  <si>
    <t xml:space="preserve">HealthTrust SIP acknowledgement; vendor named Freedom Medical but signed by Tim Heck for US Med-Equip LLC. Covered Products and baseline blank; dates garbled in OCR.</t>
  </si>
  <si>
    <t xml:space="preserve">Expired/GPO/Vizient BTS_CE3353</t>
  </si>
  <si>
    <t xml:space="preserve">Vizient CE3353 US Med-Equip, LLC Therapeutic Beds Nuvay Adds 9_12_2024.pdf</t>
  </si>
  <si>
    <t xml:space="preserve">Vizient CE3353</t>
  </si>
  <si>
    <t xml:space="preserve">Not stated (base agreement dated 2019-05-01)</t>
  </si>
  <si>
    <t xml:space="preserve">Adds Nuvay Arctic and Blue foam mattresses (purchase) at List / Tier 1 / Tier 2 / Tier 3 prices</t>
  </si>
  <si>
    <t xml:space="preserve">Product-add amendment to CE3353 (Bariatric and Therapeutic Beds and Support Surfaces - Purchase), adding 2 Nuvay mattress SKUs (Tier 1 $942.11/$626.32). Folder marks Expired.</t>
  </si>
  <si>
    <t xml:space="preserve">Expired/GPO/Vizient BTS_CE3353/Expired - Reference Agreements</t>
  </si>
  <si>
    <t xml:space="preserve">Vizient CE3353_US_Med-Equip_Bariatric_and_Therapeutic adds 4_12_2024.pdf</t>
  </si>
  <si>
    <t xml:space="preserve">BTS Rental, Refurb Equipment Sales</t>
  </si>
  <si>
    <t xml:space="preserve">2024-04-15</t>
  </si>
  <si>
    <t xml:space="preserve">Adds 8 purchase products (beds, walking aid, overbed tables) at List/Tier 1/Tier 2/Tier 3 prices</t>
  </si>
  <si>
    <t xml:space="preserve">Product-add amendment to CE3353 Bariatric &amp; Therapeutic Beds and Support Surfaces - Purchase agreement (dated 2019-05-01). Folder marks it Expired/Reference.</t>
  </si>
  <si>
    <t xml:space="preserve">Expired/GPO/Vizient MSS_CE7073AB/Expired - Reference Agreements</t>
  </si>
  <si>
    <t xml:space="preserve">MSS_Vizient_Addendum_CE7073AB_Exp 2_28_2024.pdf</t>
  </si>
  <si>
    <t xml:space="preserve">Vizient CE7073AB (base CE7073)</t>
  </si>
  <si>
    <t xml:space="preserve">2024-02-28 (co-terminous with CE7073; value continued to 2/28/2024 under successor)</t>
  </si>
  <si>
    <t xml:space="preserve">Co-terminous with base agreement (CE7073 ended 2022-09-30 plus up to two 1-yr renewals)</t>
  </si>
  <si>
    <t xml:space="preserve">Auto-extends with base agreement; value carried into new base agreement or custom agreement through 2/28/2024</t>
  </si>
  <si>
    <t xml:space="preserve">Vizient may terminate without cause on 90 days written notice; terminates with base agreement</t>
  </si>
  <si>
    <t xml:space="preserve">Exhibit B three-tier monthly/daily pricing: Tier 1 Access, Tier 2 (80% commitment), Tier 3 (90% commitment); firm for term</t>
  </si>
  <si>
    <t xml:space="preserve">Fixed for term</t>
  </si>
  <si>
    <t xml:space="preserve">Vizient admin fees per base agreement; MSS maintenance rebate 3% (Tier 1), 2% (Tier 2), 1% (Tier 3) on net sales, paid within 60 days of rebate period</t>
  </si>
  <si>
    <t xml:space="preserve">No purchase obligation; Tier 2 requires 80% and Tier 3 90% of annual requirements; rebates require meeting elected tier spend and current account</t>
  </si>
  <si>
    <t xml:space="preserve">Per base agreement; rebates withheld while account past due</t>
  </si>
  <si>
    <t xml:space="preserve">MSS (Mid-America Service Solutions) regional addendum to Vizient CE7073 with tiered pricing and maintenance rebates; requires bi-annual business reviews. Filed in Expired/Reference; expired 2/28/2024.</t>
  </si>
  <si>
    <t xml:space="preserve">Vizient_MME_Extension_CE7073_Exp 9_30_2024.pdf</t>
  </si>
  <si>
    <t xml:space="preserve">2022-02-15</t>
  </si>
  <si>
    <t xml:space="preserve">2024-09-30</t>
  </si>
  <si>
    <t xml:space="preserve">Not stated (base agreement dated 2019-10-01)</t>
  </si>
  <si>
    <t xml:space="preserve">Tier 1/2/3 daily and monthly rental pricing; adds products to Exhibit A (monitors, vents, ultrasound, defibrillators)</t>
  </si>
  <si>
    <t xml:space="preserve">Extends CE7073 equipment rental agreement from 9/30/2022 to 9/30/2024 and adds new products at tiered pricing. Superseded by later Vizient MME agreement (CE7782).</t>
  </si>
  <si>
    <t xml:space="preserve">Vizient_Q4 2024_CE3353_BTS_Group Buy_Exp12_31_23.pdf</t>
  </si>
  <si>
    <t xml:space="preserve">2024-12-31 (group buy period; shipments by 2025-01-31)</t>
  </si>
  <si>
    <t xml:space="preserve">3 months (Q4 2024 group buy)</t>
  </si>
  <si>
    <t xml:space="preserve">Group buy: Tier 2 pricing (5% savings) for 10+ systems, plus 1 free system per 10 purchased; bed/surface purchase products (A6, Alius, Nuvay, Sittan)</t>
  </si>
  <si>
    <t xml:space="preserve">4% Vizient admin fee on group buy sales; booking report due 45 days after period</t>
  </si>
  <si>
    <t xml:space="preserve">Minimum 10 systems to qualify; must notify Vizient before extending extra value to members</t>
  </si>
  <si>
    <t xml:space="preserve">Admin fees owed on all quoted and booked sales regardless of shipment</t>
  </si>
  <si>
    <t xml:space="preserve">Q4 2024 group buy addendum to CE3353 (bariatric/therapeutic beds for purchase, eff. 5/1/2019). Filename says Exp 12/31/23 but text says group buy period ended 12/31/2024.</t>
  </si>
  <si>
    <t xml:space="preserve">Expired/GPO/Vizient BTS_CE3363</t>
  </si>
  <si>
    <t xml:space="preserve">Vizient CE3363_US_Med-Equip_Bariatric_and_Therapeutic_add_delete amendment 4_12_2024.pdf</t>
  </si>
  <si>
    <t xml:space="preserve">Vizient CE3363</t>
  </si>
  <si>
    <t xml:space="preserve">Not stated (base CE3363 extended to 2025-01-31)</t>
  </si>
  <si>
    <t xml:space="preserve">Adds 7 items (Paramount A6, Alius, overbed tables, Sittan, walking aid, Rotec Versatech 1100) with List and Tier 1-4 daily prices; deletes 2 Posey bedside cushions eff. 2024-06-15</t>
  </si>
  <si>
    <t xml:space="preserve">Add/delete product amendment to Vizient CE3363 Bariatric and Therapeutic Beds and Support Surfaces Rental (dated 2019-05-01).</t>
  </si>
  <si>
    <t xml:space="preserve">Vizient_BTS_CE3363_Extension_Exp_01_31_2025.pdf</t>
  </si>
  <si>
    <t xml:space="preserve">2024-02-01</t>
  </si>
  <si>
    <t xml:space="preserve">Base agreement dated 2019-05-01</t>
  </si>
  <si>
    <t xml:space="preserve">Extended from 2024-04-30 to 2025-01-31</t>
  </si>
  <si>
    <t xml:space="preserve">Term extension of Vizient CE3363 Bariatric and Therapeutic Beds Rental; all other terms unchanged.</t>
  </si>
  <si>
    <t xml:space="preserve">Vizient_Bed Purchase_CE3353_Extension_Exp_1_31_2025.pdf</t>
  </si>
  <si>
    <t xml:space="preserve">Original agreement dated 2019-05-01</t>
  </si>
  <si>
    <t xml:space="preserve">Extension only (from 2024-04-30 to 2025-01-31)</t>
  </si>
  <si>
    <t xml:space="preserve">Not stated (per CE3353 base agreement)</t>
  </si>
  <si>
    <t xml:space="preserve">Extends Vizient CE3353 Bariatric &amp; Therapeutic Beds &amp; Support Surfaces Purchase agreement from 4/30/2024 to 1/31/2025. Filed in Expired/Reference folder.</t>
  </si>
  <si>
    <t xml:space="preserve">Vizient CE3363 BTS Rental extension exp 2_28_2025.pdf</t>
  </si>
  <si>
    <t xml:space="preserve">1-month extension (base agreement dated 2019-05-01)</t>
  </si>
  <si>
    <t xml:space="preserve">Not stated (base agreement terms unchanged)</t>
  </si>
  <si>
    <t xml:space="preserve">Short bridge extension of Vizient Bariatric &amp; Therapeutic Beds/Support Surfaces rental agreement CE3363 from 2025-01-31 to 2025-02-28; likely bridged to successor CE9205.</t>
  </si>
  <si>
    <t xml:space="preserve">Expired/GPO/Vizient MSS_CE7073AB</t>
  </si>
  <si>
    <t xml:space="preserve">MSS MME _Vizient_Addendum_Exp_9_30_25.pdf</t>
  </si>
  <si>
    <t xml:space="preserve">Vizient CE7073AB (now CE7782AD under CE7782)</t>
  </si>
  <si>
    <t xml:space="preserve">Through 2025-09-30 (MSS End Date)</t>
  </si>
  <si>
    <t xml:space="preserve">None; value may carry to new addendum/custom agreement through MSS End Date</t>
  </si>
  <si>
    <t xml:space="preserve">Vizient may terminate without cause on 90 days written notice; auto-terminates with Base Agreement</t>
  </si>
  <si>
    <t xml:space="preserve">Addendum pricing/value under Vizient Equipment Rental agreement; all admin fees/rebates/discounts maintained or exceeded</t>
  </si>
  <si>
    <t xml:space="preserve">Existing admin fees, rebates and committed-program value must be maintained or exceeded (amounts not stated)</t>
  </si>
  <si>
    <t xml:space="preserve">Amends MSS addendum to re-point base agreement from CE7073 to CE7782 (eff. 10/1/2024) and sets addendum end 9/30/2025; sales reported under CE7782.</t>
  </si>
  <si>
    <t xml:space="preserve">GPO/Vizient/Vizient Captis_CE7782_CE7782AE_CE7782AG/CE7782AD</t>
  </si>
  <si>
    <t xml:space="preserve">CE7782AD MSS MME Amendment Ext_12_31_25.pdf</t>
  </si>
  <si>
    <t xml:space="preserve">Vizient CE7782AD (MSS addendum to CE7782)</t>
  </si>
  <si>
    <t xml:space="preserve">2025-09-30 (executed 2025-10-15, retroactive)</t>
  </si>
  <si>
    <t xml:space="preserve">Not stated (Addendum dated 2021-03-01)</t>
  </si>
  <si>
    <t xml:space="preserve">Per existing CE7782AD addendum (unchanged)</t>
  </si>
  <si>
    <t xml:space="preserve">Short extension of MSS MME addendum from 9/30/2025 to 12/31/2025, signed late and made retroactive. Sits in active folder but expiry has passed; confirm whether a later extension exists.</t>
  </si>
  <si>
    <t xml:space="preserve">GPO/Vizient/Vizient Captis_CE7782_CE7782AE_CE7782AG/Expired - Reference Agreement</t>
  </si>
  <si>
    <t xml:space="preserve">Vizient Captis MME Extension Amend exp 4_30_2025.pdf</t>
  </si>
  <si>
    <t xml:space="preserve">Vizient CE7782AF (formerly CE7073AA)</t>
  </si>
  <si>
    <t xml:space="preserve">Value to continue via new addendum or custom agreement only through 4/30/2025</t>
  </si>
  <si>
    <t xml:space="preserve">Not stated (per underlying Captis addendum)</t>
  </si>
  <si>
    <t xml:space="preserve">Admin fees, rebates and committed-program value to be maintained in any custom agreement</t>
  </si>
  <si>
    <t xml:space="preserve">Moves Captis addendum from CE7073 to new base CE7782 (10/1/2024), renames CE7073AA to CE7782AF, sets Captis End Date 4/30/2025; sales reported under CE7782. Filed as Expired - Reference.</t>
  </si>
  <si>
    <t xml:space="preserve">Vizient (MSS)</t>
  </si>
  <si>
    <t xml:space="preserve">MSS_Vizient_CE7073AB_Exp_9_30_2024.pdf</t>
  </si>
  <si>
    <t xml:space="preserve">MME Rental, Respiratory, BTS Rental</t>
  </si>
  <si>
    <t xml:space="preserve">Vizient CE7073 / CE7073AB</t>
  </si>
  <si>
    <t xml:space="preserve">Co-terminous with base CE7073 (base ends 2022-09-30 + up to two 1-yr renewals = 2024-09-30)</t>
  </si>
  <si>
    <t xml:space="preserve">Extends automatically with base agreement; value to continue via new addendum/custom agreement through 2024-02-28</t>
  </si>
  <si>
    <t xml:space="preserve">Vizient may terminate without cause on 90 days notice; terminates with base agreement</t>
  </si>
  <si>
    <t xml:space="preserve">Exhibit B tiered monthly/daily rental pricing: Tier 1 Access, Tier 2 (80% commitment), Tier 3 (90% commitment)</t>
  </si>
  <si>
    <t xml:space="preserve">Vizient admin fees per base agreement; Maintenance rebate on Net Sales: 3% Tier 1, 2% Tier 2, 1% Tier 3, paid annually to MSS within 60 days</t>
  </si>
  <si>
    <t xml:space="preserve">Tier 2 requires 80% and Tier 3 90% of annual requirements; no purchase obligation otherwise; quarterly leakage reporting for Tier 2/3</t>
  </si>
  <si>
    <t xml:space="preserve">Not stated (no rebate paid on past-due accounts)</t>
  </si>
  <si>
    <t xml:space="preserve">Must maintain/exceed admin fees, rebates and value in any successor custom agreement (survives)</t>
  </si>
  <si>
    <t xml:space="preserve">Bid addendum for MSS (Vizient regional) members with incremental pricing and rebates; requires bi-annual KPI business reviews. Folder marks it expired/reference.</t>
  </si>
  <si>
    <t xml:space="preserve">Watsonville Nursing Center</t>
  </si>
  <si>
    <t xml:space="preserve">Expired/Watsonville Nursing Center</t>
  </si>
  <si>
    <t xml:space="preserve">Watsonville Nursing Center_Exp_6_30_2022_Auto_2024_LR.pdf</t>
  </si>
  <si>
    <t xml:space="preserve">2019-07-01</t>
  </si>
  <si>
    <t xml:space="preserve">2024-06-30 (initial 2022-06-30 + two 12-month renewals)</t>
  </si>
  <si>
    <t xml:space="preserve">No termination for convenience; for cause w/30-day cure</t>
  </si>
  <si>
    <t xml:space="preserve">Exhibit A: Freedom Safe Bed System $55.00/day, $1,375/month</t>
  </si>
  <si>
    <t xml:space="preserve">Primary rental provider for equipment listed on Exhibit A</t>
  </si>
  <si>
    <t xml:space="preserve">Customer liable for loss/damage (replacement cost); FMI liability limited to repair/replace/refund; mutual indemnity</t>
  </si>
  <si>
    <t xml:space="preserve">Legacy FMI SNF bed rental (Freedom Safe Bed). Renewals exhausted 6/30/2024; folder Expired.</t>
  </si>
  <si>
    <t xml:space="preserve">Wellforce (Tufts Medicine)</t>
  </si>
  <si>
    <t xml:space="preserve">Wellforce IDN</t>
  </si>
  <si>
    <t xml:space="preserve">Wellforce</t>
  </si>
  <si>
    <t xml:space="preserve">Wellforce IDN Equipment Rental Agreement Exp_3_24_2026.pdf</t>
  </si>
  <si>
    <t xml:space="preserve">Direct (Premier Tier 4 pricing; ref PP-NS-1285)</t>
  </si>
  <si>
    <t xml:space="preserve">2022-02-18</t>
  </si>
  <si>
    <t xml:space="preserve">2026-02-17 per text (24 mo + two 12-mo renewals); filename says 2026-03-24</t>
  </si>
  <si>
    <t xml:space="preserve">24 months</t>
  </si>
  <si>
    <t xml:space="preserve">Customer only, 60 days written notice without cause; 30-day cure for breach</t>
  </si>
  <si>
    <t xml:space="preserve">Premier Tier 4 pricing; long-term low bed program monthly rates (12-mo commitment)</t>
  </si>
  <si>
    <t xml:space="preserve">Firm for 24 months</t>
  </si>
  <si>
    <t xml:space="preserve">Primary provider: 90% of all equipment rentals; consigned peak-need equipment at no charge until used</t>
  </si>
  <si>
    <t xml:space="preserve">Customer liable for loss/damage at replacement cost (schedule provided); mutual indemnity; FMI liability limited to repair/replace/refund; MA law</t>
  </si>
  <si>
    <t xml:space="preserve">Legacy FMI agreement for MelroseWakefield with opt-in for Tufts MC and Lawrence Memorial. Internal inconsistency (18-month clause); filename date differs from computed expiry.</t>
  </si>
  <si>
    <t xml:space="preserve">Wickenburg Community Hospital</t>
  </si>
  <si>
    <t xml:space="preserve">Expired/Wickenburg Community Hospital</t>
  </si>
  <si>
    <t xml:space="preserve">Wickenburg Community Hospital_Exp_2-15_2021_Auto_2023_LR.pdf</t>
  </si>
  <si>
    <t xml:space="preserve">Not stated (filename implies ~2018-02-16)</t>
  </si>
  <si>
    <t xml:space="preserve">Not stated (filename: 2021-02-15 initial, renewals to 2023)</t>
  </si>
  <si>
    <t xml:space="preserve">Net 30; 1.5%/month on invoices 60+ days past due; no offset; 90-day dispute window</t>
  </si>
  <si>
    <t xml:space="preserve">Customer bears loss/damage, billed at replacement cost; FMI liability limited to repair/replace or refund</t>
  </si>
  <si>
    <t xml:space="preserve">Standard legacy FMI rental agreement; effective date not legible in OCR. Max term per filename ended 2023.</t>
  </si>
  <si>
    <t xml:space="preserve">Adventist MD BTS Exp 10_31_2023.pdf</t>
  </si>
  <si>
    <t xml:space="preserve">2020-11-01</t>
  </si>
  <si>
    <t xml:space="preserve">2023-10-31 (initial term; renewable to 2025-10-31)</t>
  </si>
  <si>
    <t xml:space="preserve">Two consecutive 12-month renewals unless either party gives 60 days non-renewal notice; expressly no auto-renewals</t>
  </si>
  <si>
    <t xml:space="preserve">For cause only (30-day cure); customer may terminate on 30 days notice if KPIs missed 2 consecutive quarters and not fixed in 60-day action plan</t>
  </si>
  <si>
    <t xml:space="preserve">Daily rental rates per Exhibit A (e.g., Freedom 1000 $66.38, Freedom 500 $30.98); billed receipt to return</t>
  </si>
  <si>
    <t xml:space="preserve">FMI primary rental provider: 90% of customer equipment rentals; purchases not restricted</t>
  </si>
  <si>
    <t xml:space="preserve">Net 30; no offset; billing disputes within 90 days; FMI may suspend on 5 days notice for non-payment</t>
  </si>
  <si>
    <t xml:space="preserve">Customer liable for loss/damage at replacement cost; mutual indemnity; FMI liability limited to repair/replace/refund; no assignment by FMI without customer consent; KPI SLAs (97% fill, 4h/2h STAT, 2-4h maint response)</t>
  </si>
  <si>
    <t xml:space="preserve">Covers Shady Grove, White Oak, Fort Washington, Howard University Hospital (TBD). Maryland law. FMI assignment needs consent - relevant post-acquisition. Folder marks it as original agreement for reference.</t>
  </si>
  <si>
    <t xml:space="preserve">Allegheny Health - MME/Original Agreement as Reference</t>
  </si>
  <si>
    <t xml:space="preserve">Allegheny_Vizient_MME_Exp_9_30_2025.docx</t>
  </si>
  <si>
    <t xml:space="preserve">2025-09-30 (initial term; auto-renewed 1-yr periods)</t>
  </si>
  <si>
    <t xml:space="preserve">Auto-renews successive 1-yr periods unless terminated</t>
  </si>
  <si>
    <t xml:space="preserve">Either party, 30 days written notice without cause; 60-day cure for breach</t>
  </si>
  <si>
    <t xml:space="preserve">Monthly rental per Attachment A; Primary Vendor pricing for 90%+ commitment</t>
  </si>
  <si>
    <t xml:space="preserve">None stated; 25% equity discount on monthly rent (up to 12 months) toward buyout; lost-equipment 50% buyout credit (value-adds)</t>
  </si>
  <si>
    <t xml:space="preserve">Primary Vendor: customer purchases &gt;=90% of annual MME rental spend for Attachment B covered facilities</t>
  </si>
  <si>
    <t xml:space="preserve">Due 1st of month (Net 30); right to repossess on non-payment</t>
  </si>
  <si>
    <t xml:space="preserve">Customer responsible for loss/damage and abuse repairs; full new-unit cost if not returned in good condition; customer pays collection/attorney fees; USME CGL $1M/$3M; TX law, Harris County venue</t>
  </si>
  <si>
    <t xml:space="preserve">Original MME agreement kept as reference. Filename references Vizient but text contains no Vizient/GPO terms; auto-renewal means it may still be in force beyond 9/30/2025.</t>
  </si>
  <si>
    <t xml:space="preserve">Atlantic Health System/Expired - reference documents</t>
  </si>
  <si>
    <t xml:space="preserve">Atlantic_Health_Bed_Rental_-_Exhibit_C_Growth_Rebate_Template.docx.pdf</t>
  </si>
  <si>
    <t xml:space="preserve">HealthTrust HPG-77980</t>
  </si>
  <si>
    <t xml:space="preserve">Freedom Medical Inc (in text); signature block US Med Equip LLC</t>
  </si>
  <si>
    <t xml:space="preserve">2024-12-13 (signed; incentive period left blank)</t>
  </si>
  <si>
    <t xml:space="preserve">Not stated (Incentive Period blank)</t>
  </si>
  <si>
    <t xml:space="preserve">Facility may terminate rebate participation on 30 days written notice (no rebates paid if terminated without cause); vendor may terminate if commitment missed</t>
  </si>
  <si>
    <t xml:space="preserve">8% rebate on all Covered Product purchases if above baseline (prior 12-month spend)</t>
  </si>
  <si>
    <t xml:space="preserve">8% growth rebate paid to HealthTrust within 30 days after Incentive Period; must be current on payables</t>
  </si>
  <si>
    <t xml:space="preserve">Commitment to increase spend above Baseline; if vendor fails to supply, rebate still owed on projected spend</t>
  </si>
  <si>
    <t xml:space="preserve">Vendor supply failure does not void 8% rebate obligation; changes require HealthTrust approval</t>
  </si>
  <si>
    <t xml:space="preserve">HPG-77980 Exhibit C growth rebate acknowledgement for bed rentals; baseline, covered products and incentive period fields are blank. Entity mismatch: body names Freedom Medical, signature names USME.</t>
  </si>
  <si>
    <t xml:space="preserve">AHS Hospital Corp./Newton Medical Center (Atlantic Health System)</t>
  </si>
  <si>
    <t xml:space="preserve">AHS pNeuton purchase agreement 2_7_2025.pdf</t>
  </si>
  <si>
    <t xml:space="preserve">Respiratory, Other</t>
  </si>
  <si>
    <t xml:space="preserve">2025-02-07</t>
  </si>
  <si>
    <t xml:space="preserve">On completion of delivery and payment (one-time purchase)</t>
  </si>
  <si>
    <t xml:space="preserve">One-time purchase</t>
  </si>
  <si>
    <t xml:space="preserve">No convenience termination; customer may remove products/terminate (30 days) if offered via HPG; terminate if vendor sanctioned</t>
  </si>
  <si>
    <t xml:space="preserve">Fixed quote price per Exhibit A: 2 pNeuton Model A ventilator kits + accessories, total $21,360.88</t>
  </si>
  <si>
    <t xml:space="preserve">Fixed (one-time quote)</t>
  </si>
  <si>
    <t xml:space="preserve">Net 30 from receipt of invoice; FOB Destination</t>
  </si>
  <si>
    <t xml:space="preserve">Vendor product/IP indemnity; insurance $2M/$4M CGL, $1M auto, $1M EL; mutual consequential damages exclusion; no assignment without consent; 12-month equipment warranty, 30-day accessories</t>
  </si>
  <si>
    <t xml:space="preserve">One-time sale of 2 pNeuton ventilators to Newton Medical Center respiratory therapy. NJ law/venue, jury waiver. Folder marks it expired/reference.</t>
  </si>
  <si>
    <t xml:space="preserve">Atlantic_Health_Rental BTS_SIP_exp_9_30_25.pdf</t>
  </si>
  <si>
    <t xml:space="preserve">2024-08-01 (Facility form); 2024-07-01 (Group form); signed 2024-12-12/13</t>
  </si>
  <si>
    <t xml:space="preserve">Not stated (tied to HPG-77980 term; filename 2025-09-30)</t>
  </si>
  <si>
    <t xml:space="preserve">Facility/Group may exit SIP on 30 days written notice; HealthTrust 30 days; USME only on uncured non-compliance (60-day cure)</t>
  </si>
  <si>
    <t xml:space="preserve">HPG-77980 contract pricing for Rental Beds, Surfaces and Equipment</t>
  </si>
  <si>
    <t xml:space="preserve">3% rebate on covered purchases, paid to HealthTrust within 60 days after each calendar year</t>
  </si>
  <si>
    <t xml:space="preserve">80% of requirements for rental beds, surfaces and equipment</t>
  </si>
  <si>
    <t xml:space="preserve">USME sole remedy for non-compliance is SIP termination with 60-day cure; rebates paid through termination date</t>
  </si>
  <si>
    <t xml:space="preserve">HPG SIP acknowledgment (facility and group forms) for BTS rental. References HPG-77980 dated 2024-07-01 with USME as vendor (base agreement was Freedom Medical). Filed in Expired/reference folder; separate Atlantic BTS agreement exp 11/14/2030 exists.</t>
  </si>
  <si>
    <t xml:space="preserve">HealthTrust Purchasing Group, LP and HCA Management Services, L.P.</t>
  </si>
  <si>
    <t xml:space="preserve">GPO/HealthTrust/Expired - Reference Document/HPG-7093</t>
  </si>
  <si>
    <t xml:space="preserve">HCA Healthcare_HPG-7093_Exp_04_30_2024.pdf</t>
  </si>
  <si>
    <t xml:space="preserve">HPG-7093 (HCA Pricing Agreement)</t>
  </si>
  <si>
    <t xml:space="preserve">2024-04-30</t>
  </si>
  <si>
    <t xml:space="preserve">~3.75 years</t>
  </si>
  <si>
    <t xml:space="preserve">Any party (HealthTrust, HCA or USME), without cause, 30 days prior written notice; auto-terminates if HCA leaves HealthTrust</t>
  </si>
  <si>
    <t xml:space="preserve">Exhibit AA committed-product special pricing for HCA facilities; HPG-7093 terms govern</t>
  </si>
  <si>
    <t xml:space="preserve">10% rebate Aug-Oct 2020 (compliant divisions); then 5% quarterly rebate on committed spend, paid to HealthTrust within 45 days of quarter; HPG GPO fees apply</t>
  </si>
  <si>
    <t xml:space="preserve">HCA commits 90% of annual MME rental in each division within USME service areas; 60 days to convert new areas; quarterly leakage reporting</t>
  </si>
  <si>
    <t xml:space="preserve">30 days DSO; division exceeding 30 DSO forfeits quarterly rebate</t>
  </si>
  <si>
    <t xml:space="preserve">Not stated in pricing agreement (HPG-7093 governs)</t>
  </si>
  <si>
    <t xml:space="preserve">HCA corporate pricing agreement layered on HPG-7093 MME agreement. Filed as expired/reference; later extended by amendment (see HPG MME S2 amendment to 6/30/2027).</t>
  </si>
  <si>
    <t xml:space="preserve">HealthTrust_HPG-7093_MME_Exp_9_30_2_24.pdf</t>
  </si>
  <si>
    <t xml:space="preserve">2021-08-01</t>
  </si>
  <si>
    <t xml:space="preserve">2024-07-31 (text garbled 'July 31 30, 2024'; filename 2024-09-30)</t>
  </si>
  <si>
    <t xml:space="preserve">Not stated; HealthTrust may extend Expiration Date for transition</t>
  </si>
  <si>
    <t xml:space="preserve">HealthTrust only: 60 days written notice without cause</t>
  </si>
  <si>
    <t xml:space="preserve">Exhibit A daily/monthly rates incl. Committed Price column for SIP; Dual Source award</t>
  </si>
  <si>
    <t xml:space="preserve">Fixed and firm from Effective Date through Expiration Date</t>
  </si>
  <si>
    <t xml:space="preserve">GPO Fee 3% of purchases, paid monthly within 30 days; Rebates N/A</t>
  </si>
  <si>
    <t xml:space="preserve">Dual award; no minimums; SIP 80% commitment option via Exhibit D</t>
  </si>
  <si>
    <t xml:space="preserve">Net 30 from later of invoice or product receipt</t>
  </si>
  <si>
    <t xml:space="preserve">Insurance $10M per occurrence/$10M aggregate; delivery 2 hrs + drive time; 10-yr useful-life parts/service commitment; must add all category products or HealthTrust may terminate</t>
  </si>
  <si>
    <t xml:space="preserve">Master HPG MME agreement (replaced 2018 agreement). Kindred 2024 agreement references HPG-7093 as still governing, so it may have been extended; folder marks Expired/Reference.</t>
  </si>
  <si>
    <t xml:space="preserve">HPG_BTS_77980_Exp_9_30_2025.pdf</t>
  </si>
  <si>
    <t xml:space="preserve">HealthTrust may extend two additional 1-yr periods by amendment</t>
  </si>
  <si>
    <t xml:space="preserve">HealthTrust only: without cause on 60 days notice; also 60 days on vendor change of control (&gt;=50% or substantially all assets)</t>
  </si>
  <si>
    <t xml:space="preserve">Exhibit A contract prices for rental beds, therapy and bariatric; Multi-source award</t>
  </si>
  <si>
    <t xml:space="preserve">Prices fixed and firm through Expiration Date</t>
  </si>
  <si>
    <t xml:space="preserve">3% GPO admin fee paid monthly; rebates per Exhibit A/SIP</t>
  </si>
  <si>
    <t xml:space="preserve">Multi-source; no minimum orders</t>
  </si>
  <si>
    <t xml:space="preserve">Net 60 from later of invoice/receipt; 2% discount if paid within 10 days; late fee 1%/month on unpaid GPO fees</t>
  </si>
  <si>
    <t xml:space="preserve">95% fill rate; delivery 2 hrs + drive time; insurance $10M per occurrence/$25M aggregate; change-of-control termination; product change 60-day notice</t>
  </si>
  <si>
    <t xml:space="preserve">Original Freedom Medical HPG bed/surface agreement; later referenced with USME as vendor. Filed as Expired/Reference; separate extension document to 9/30/2027 exists in folder.</t>
  </si>
  <si>
    <t xml:space="preserve">HealthTrust_HCA_MMA_incl amendment_HPG-7093_exp 07.01.2026.pdf</t>
  </si>
  <si>
    <t xml:space="preserve">2021-08-01 (amendment effective 2024-04-01)</t>
  </si>
  <si>
    <t xml:space="preserve">~3 years (original expiration 2024-07-31)</t>
  </si>
  <si>
    <t xml:space="preserve">Extended by amendment to 2026-07-01</t>
  </si>
  <si>
    <t xml:space="preserve">HealthTrust only, without cause, 60 days written notice; HealthTrust may also terminate on 60 days notice upon USME change of control (&gt;=50% ownership or substantially all assets)</t>
  </si>
  <si>
    <t xml:space="preserve">Exhibit AA tiered pricing: standard daily/monthly, 6-month, 12-month and SIP daily/monthly rates per model</t>
  </si>
  <si>
    <t xml:space="preserve">Prices fixed and firm Effective Date through Expiration Date</t>
  </si>
  <si>
    <t xml:space="preserve">GPO admin fee 3% paid monthly within 30 days; rebates per Exhibit B paid monthly; 1% prompt-pay discount if paid within 10 days</t>
  </si>
  <si>
    <t xml:space="preserve">Dual award; 95% required fill rate</t>
  </si>
  <si>
    <t xml:space="preserve">Net 30 from later of invoice or product receipt; ACH accepted; 1%/month late fee on unpaid GPO fees/overpayments</t>
  </si>
  <si>
    <t xml:space="preserve">Change-of-control termination right; 95% fill rate; CGL plus $1M auto and employer liability; purchasers may exit existing contracts without penalty</t>
  </si>
  <si>
    <t xml:space="preserve">Amendment (Apr 2024) replacing Exhibit A pricing and extending HPG-7093 national MME agreement to 7/1/2026; includes base agreement. Per filename and text, expired 7/1/2026 unless further extended; check whether the S2 extension to 6/30/2027 covers this agreement. [Review note: term extended to 7/31/2029 by separate HPG-7093 extension amendment in same folder.]</t>
  </si>
  <si>
    <t xml:space="preserve">GPO/HealthTrust/Expired - Reference Document/HPG-7093/Expired - Reference Agreement</t>
  </si>
  <si>
    <t xml:space="preserve">HPG_MME 2 year extension_Exp_7_01_2026.pdf</t>
  </si>
  <si>
    <t xml:space="preserve">Revised Exhibit AA: daily/monthly pricing, 6-month and 12-month term pricing, and SIP daily/monthly pricing per item</t>
  </si>
  <si>
    <t xml:space="preserve">Not stated (SIP pricing column referenced)</t>
  </si>
  <si>
    <t xml:space="preserve">Amended HPG-7093 national MME pricing and extended term to 7/1/2026. Superseded by the August 2025 amendment extending to 7/31/2029.</t>
  </si>
  <si>
    <t xml:space="preserve">GPO/HealthTrust/Expired - Reference Document/HPG-77980/Expired - Reference Agreement</t>
  </si>
  <si>
    <t xml:space="preserve">HPG BTS Etension Exp 9.30.2027_with_Price_File.pdf</t>
  </si>
  <si>
    <t xml:space="preserve">2025-03-17 (amendment date; agreement dated 2022-10-01)</t>
  </si>
  <si>
    <t xml:space="preserve">Exhibit AA daily/monthly rates for beds, mattresses, surfaces, bariatric items (largely Freedom-branded)</t>
  </si>
  <si>
    <t xml:space="preserve">Rebates: Yes, see Exhibit C (% not in this document)</t>
  </si>
  <si>
    <t xml:space="preserve">Instruments/items used with products at no additional cost</t>
  </si>
  <si>
    <t xml:space="preserve">Amendment extends HPG BTS agreement to 9/30/2027 and replaces Exhibit A pricing. Conflicts: text refers to agreement dated 2/1/2025 vs header 10/1/2022; folder says Expired/Reference though text expiry is 2027.</t>
  </si>
  <si>
    <t xml:space="preserve">Methodist Hospitals of Dallas/Expired - Reference Agreement</t>
  </si>
  <si>
    <t xml:space="preserve">Methodist of Dallas MME and BTS Exp_11_30_2022_Auto_2023_LR.pdf</t>
  </si>
  <si>
    <t xml:space="preserve">MME Rental, BTS Rental, Asset Mgmt/On-site, Respiratory</t>
  </si>
  <si>
    <t xml:space="preserve">Premier PP-NS-1285 (Tier 4); Premier PP-MM-708 (beds)</t>
  </si>
  <si>
    <t xml:space="preserve">2021-07-01 (master agreement 2014-08-25)</t>
  </si>
  <si>
    <t xml:space="preserve">2022-11-30 per recital (Amendment No.1 says 2022-08-24); auto-renews 1-yr</t>
  </si>
  <si>
    <t xml:space="preserve">Extension to 2022</t>
  </si>
  <si>
    <t xml:space="preserve">Per master agreement (not in excerpt)</t>
  </si>
  <si>
    <t xml:space="preserve">Premier Tier 4 rental rates (Exhibit A); 20-day monthly cap respiratory; 25-day monthly cap beds; enhanced bed pricing</t>
  </si>
  <si>
    <t xml:space="preserve">2% annual indigent care rebate on total rental spend, paid semi-annually (Jan/Jul)</t>
  </si>
  <si>
    <t xml:space="preserve">Not stated in excerpt</t>
  </si>
  <si>
    <t xml:space="preserve">Extends FMI master agreement to all Methodist locations; adds 1 dedicated on-site equipment tech, specialty bed algorithm, portal. Internal date conflict (8/24/2022 vs 11/30/2022). Folder marks Expired - Reference.</t>
  </si>
  <si>
    <t xml:space="preserve">Partners CE72 US MED-EQUIP (2021) RENTAL 90% Exhibits.pdf</t>
  </si>
  <si>
    <t xml:space="preserve">MME Rental, Respiratory, Asset Mgmt/On-site, Biomed/Repair Service, Refurb Equipment Sales</t>
  </si>
  <si>
    <t xml:space="preserve">Partners CE72 (proposal; Vizient tier references)</t>
  </si>
  <si>
    <t xml:space="preserve">2021-11-02 (RFP submission date)</t>
  </si>
  <si>
    <t xml:space="preserve">Proposed dual-source: Access price = Vizient Tier 2 (no spend requirement); Primary Provider price = Vizient Tier 3 (90%+ commitment)</t>
  </si>
  <si>
    <t xml:space="preserve">Proposed 1/2% quarterly rebate at Access tier; 1% quarterly at Primary Provider; extra 1% bonus if aggregate annual spend exceeds $7M</t>
  </si>
  <si>
    <t xml:space="preserve">Primary Provider: 90%+ annual rental spend, conversion within 60 days in service area, drop to Tier 2 after 60-day cure; bi-annual reviews/utilization reports</t>
  </si>
  <si>
    <t xml:space="preserve">Lost equipment policy: 50% of rent paid credited to buyout if quarterly RFID scans done; rental equity credit up to 25% toward buyout</t>
  </si>
  <si>
    <t xml:space="preserve">USME RFP response and exhibits (price matrix, facility drive times, value adds, KPI commitments: 2-hour delivery, 24-hour pickup, 100% high-risk PM) for Partners MME category, not an executed contract. Reference only.</t>
  </si>
  <si>
    <t xml:space="preserve">Partners Coop - BTS/Reference Documentation</t>
  </si>
  <si>
    <t xml:space="preserve">Partners CE69 Product Addtions Amendment Exp_7_31_24.pdf</t>
  </si>
  <si>
    <t xml:space="preserve">Freedom Medical Sales, Inc. (price file: Freedom Medical, Inc. (USME))</t>
  </si>
  <si>
    <t xml:space="preserve">Not stated (filename: 2024-07-31)</t>
  </si>
  <si>
    <t xml:space="preserve">Not stated (base Wave therapeutic surfaces agreement effective 2021-09-22)</t>
  </si>
  <si>
    <t xml:space="preserve">Adds Schedule 1 products to Exhibit B at Partners Coop daily prices (e.g., Freedom 500 $30, Freedom 1000 $70, Pronova-O2 $1,400)</t>
  </si>
  <si>
    <t xml:space="preserve">Product-additions amendment to Freedom Medical's Partners Cooperative CE69 Wave surfaces agreement (legacy FMI paper). Filed under Reference Documentation; filename expiration 7/31/2024.</t>
  </si>
  <si>
    <t xml:space="preserve">Partners BTS Amendment Exp_7_31_2024.pdf</t>
  </si>
  <si>
    <t xml:space="preserve">Freedom Medical Sales, Inc. (Freedom Medical, Inc. (USME) on exhibit)</t>
  </si>
  <si>
    <t xml:space="preserve">Not stated (filename 2024-07-31)</t>
  </si>
  <si>
    <t xml:space="preserve">Amends agreement effective 2021-09-22</t>
  </si>
  <si>
    <t xml:space="preserve">Partners Coop daily prices added to Exhibit B (e.g., Freedom Wave mattress $22.13/day, Hillrom Sport Bed $77.92/day)</t>
  </si>
  <si>
    <t xml:space="preserve">Adds Schedule 1 products (bariatric beds, surfaces, lifts, Posey beds, Pronova-O2) to Wave Therapeutic Support Surfaces Products Agreement CE69. Folder marks reference.</t>
  </si>
  <si>
    <t xml:space="preserve">Partners CE69 Bed Exp_7_31_2024.pdf</t>
  </si>
  <si>
    <t xml:space="preserve">Partners Cooperative CE69 (RFP); Vizient CE3363 Tier 4 referenced</t>
  </si>
  <si>
    <t xml:space="preserve">2024-07-31 (initial; two 1-yr options could extend to 2026-07-31)</t>
  </si>
  <si>
    <t xml:space="preserve">Two 1-yr extensions at Partners' option on same terms</t>
  </si>
  <si>
    <t xml:space="preserve">Fixed daily rates for Advanced WAVE surfaces ($40-$50) and WAVE w/ Freedom 500/1000/1000D frames ($65.55-$140.25)</t>
  </si>
  <si>
    <t xml:space="preserve">No price increase for 3 years from 8/1/2021</t>
  </si>
  <si>
    <t xml:space="preserve">5% quarterly cash rebate to Partners on Advanced Wave sales; 1.5% tracing fee on Distribution Center sales; 2% individual and 2% aggregate growth rebates; Vizient admin/marketing fees</t>
  </si>
  <si>
    <t xml:space="preserve">No volume guarantee; pricing extended to all current and future Partners members</t>
  </si>
  <si>
    <t xml:space="preserve">Net 30 (direct to members and distribution centers)</t>
  </si>
  <si>
    <t xml:space="preserve">Vendor indemnity; insurance $1M per occurrence/$3M aggregate; FOB destination freight absorbed by vendor; HIPAA breach gives Partners immediate termination</t>
  </si>
  <si>
    <t xml:space="preserve">Freedom Medical RFP response for Advanced WAVE therapeutic surfaces/beds, July 2021, signed by Partners. Filed under Reference Documentation; extension options may have run to 7/31/2026 but no extension document in this file.</t>
  </si>
  <si>
    <t xml:space="preserve">Partners Cooperative, Inc. (on behalf of Members)</t>
  </si>
  <si>
    <t xml:space="preserve">Partners Coop - Refurbished/Expired - Reference Agreement</t>
  </si>
  <si>
    <t xml:space="preserve">Partners_MME_Equip_Refurbished_Purchase Agreement_Exp_3_2025_auto renew.pdf</t>
  </si>
  <si>
    <t xml:space="preserve">2022-04-01</t>
  </si>
  <si>
    <t xml:space="preserve">2025-03-31 initial term (auto-renews annually)</t>
  </si>
  <si>
    <t xml:space="preserve">Either party, with or without cause, 30 days written notice</t>
  </si>
  <si>
    <t xml:space="preserve">Attachment B equipment sale price list (e.g., Alaris/Carefusion infusion pumps)</t>
  </si>
  <si>
    <t xml:space="preserve">4% admin fee to Partners on equipment sales, paid quarterly within 30 days</t>
  </si>
  <si>
    <t xml:space="preserve">Net 30 from invoice; 1.5%/month late interest; freight paid by members; no credit cards</t>
  </si>
  <si>
    <t xml:space="preserve">USME liability capped at amounts paid; consequential damages excluded; mutual indemnity; 1-year warranty on sold equipment; assignment requires consent</t>
  </si>
  <si>
    <t xml:space="preserve">Refurbished MME sales to Partners members. Text auto-renews annually, but folder labels it expired/reference; confirm whether still in use.</t>
  </si>
  <si>
    <t xml:space="preserve">Partners CE69 Bed Ext Exp_7_31_2025.pdf</t>
  </si>
  <si>
    <t xml:space="preserve">Partners CE69</t>
  </si>
  <si>
    <t xml:space="preserve">US Med-Equip, LLC (signature block also references Freedom Medical)</t>
  </si>
  <si>
    <t xml:space="preserve">2025-07-31</t>
  </si>
  <si>
    <t xml:space="preserve">1-year renewal term</t>
  </si>
  <si>
    <t xml:space="preserve">Exercises one 1-yr renewal under Section 3 of agreement</t>
  </si>
  <si>
    <t xml:space="preserve">Same terms and pricing as existing agreement</t>
  </si>
  <si>
    <t xml:space="preserve">One-year extension of the Partners CE69 bed agreement through 7/31/2025, signed 7/30/2024 by Tim Heck and Michelle Gustafson; authority clause names Freedom Medical. Superseded by 2025 Partners BTS agreement; filed as reference.</t>
  </si>
  <si>
    <t xml:space="preserve">Select Medical/Expired - Reference Agreement</t>
  </si>
  <si>
    <t xml:space="preserve">Select Medical Exp_09_30_2022_Auto renew.pdf</t>
  </si>
  <si>
    <t xml:space="preserve">2019-10-01</t>
  </si>
  <si>
    <t xml:space="preserve">2022-09-30 initial; auto-renewing</t>
  </si>
  <si>
    <t xml:space="preserve">Auto-renews 1-yr periods unless 90 days notice of non-renewal</t>
  </si>
  <si>
    <t xml:space="preserve">Either party without cause on 90 days written notice; Hospital may terminate for pervasive non-delivery</t>
  </si>
  <si>
    <t xml:space="preserve">Daily rates per Exhibit A (e.g. Freedom Advanced Wave UMS $35/day, XMS $45/day) plus Hospital's third-party ordering markup</t>
  </si>
  <si>
    <t xml:space="preserve">From 3rd anniversary, annually by lesser of CPI-U or 2%, minimum 1%</t>
  </si>
  <si>
    <t xml:space="preserve">Non-exclusive; 3-day minimum rental per order; covers all Select-owned/managed locations (auto-added)</t>
  </si>
  <si>
    <t xml:space="preserve">Net 45 from receipt of invoice; consolidated monthly billing</t>
  </si>
  <si>
    <t xml:space="preserve">Facility bears risk of loss/theft at fair market value; mutual indemnity; insurance $1M/$3M each party; assignment requires consent but must assign on sale of substantially all assets</t>
  </si>
  <si>
    <t xml:space="preserve">Therapy support surface rental for Select Medical system via Sentinel ordering; 4-hour delivery target. Folder says Expired-Reference, but text auto-renews annually.</t>
  </si>
  <si>
    <t xml:space="preserve">GPO/The Resource Group/Archive</t>
  </si>
  <si>
    <t xml:space="preserve">Resource Group_MME_Exp_ 2_15_2026.pdf</t>
  </si>
  <si>
    <t xml:space="preserve">2023-02-15</t>
  </si>
  <si>
    <t xml:space="preserve">2026-02-15</t>
  </si>
  <si>
    <t xml:space="preserve">TRG may renew two additional 1-yr terms by written notice</t>
  </si>
  <si>
    <t xml:space="preserve">TRG without cause, 120 days written notice</t>
  </si>
  <si>
    <t xml:space="preserve">Appendix A daily/monthly MME rental price list</t>
  </si>
  <si>
    <t xml:space="preserve">Firm pricing throughout term</t>
  </si>
  <si>
    <t xml:space="preserve">3% contract admin fee, monthly, due 30 days after month end; 1.5%/month interest on late fees/reports; rebates (Appendix C) intentionally omitted</t>
  </si>
  <si>
    <t xml:space="preserve">Non-exclusive; no minimum order</t>
  </si>
  <si>
    <t xml:space="preserve">Customer pays 30 days from receipt of complete invoice; late fees omitted</t>
  </si>
  <si>
    <t xml:space="preserve">No assignment without consent; delivery within 2 days of PO; recall/unavailability deems customer compliant</t>
  </si>
  <si>
    <t xml:space="preserve">Ascension GPO MME rental agreement. Expired 2/15/2026 unless TRG exercised renewal; folder is Archive and no renewal found in text.</t>
  </si>
  <si>
    <t xml:space="preserve">Shands Teaching Hospital and Clinics, Inc. (UF Health Shands)</t>
  </si>
  <si>
    <t xml:space="preserve">UF Shands Gainesville-Jacksonville/Old - Reference Agreement</t>
  </si>
  <si>
    <t xml:space="preserve">2019-10-24 (2020 if 1-yr extension exercised)</t>
  </si>
  <si>
    <t xml:space="preserve">One 1-yr extension by mutual written agreement 30 days before end</t>
  </si>
  <si>
    <t xml:space="preserve">Per Exhibit (1) (blank/illegible in scan)</t>
  </si>
  <si>
    <t xml:space="preserve">Not stated; Owens &amp; Minor designated distributor if needed</t>
  </si>
  <si>
    <t xml:space="preserve">Net 30; 1.5% discount if paid within 15 days</t>
  </si>
  <si>
    <t xml:space="preserve">Product warranties (reconditioned goods); patent indemnity; title passes on payment/acceptance; F.O.B. destination</t>
  </si>
  <si>
    <t xml:space="preserve">Generic supply chain master terms (reads as product purchase terms, not rental-specific); Exhibit (1) pricing is blank. Folder marks as old reference.</t>
  </si>
  <si>
    <t xml:space="preserve">University Health (San Antonio)</t>
  </si>
  <si>
    <t xml:space="preserve">University Health (Bexar County Hospital District), San Antonio, TX</t>
  </si>
  <si>
    <t xml:space="preserve">UniversityHealth/Archive-Reference</t>
  </si>
  <si>
    <t xml:space="preserve">Univ_Health_SA_MME_Exp_9_30_2024.pdf</t>
  </si>
  <si>
    <t xml:space="preserve">Premier AD-NS-1283</t>
  </si>
  <si>
    <t xml:space="preserve">2023-10-01</t>
  </si>
  <si>
    <t xml:space="preserve">2024-09-30 (initial; up to four 1-yr renewals at UH discretion)</t>
  </si>
  <si>
    <t xml:space="preserve">Up to four additional 1-yr terms at University Health's discretion</t>
  </si>
  <si>
    <t xml:space="preserve">University Health may terminate on non-appropriation of funds; no other convenience right stated</t>
  </si>
  <si>
    <t xml:space="preserve">Premier AD-NS-1283 pricing; monthly rates listed for common items (NICU monitors, Giraffe Omnibeds, warmers, BiPAP, vents, IPV); NTE $165,000</t>
  </si>
  <si>
    <t xml:space="preserve">Firm until Premier AD-NS-1283 expiration; review on 11/30/2025; changes only if mutually agreed in writing</t>
  </si>
  <si>
    <t xml:space="preserve">None; peak-use rentals by department blanket POs</t>
  </si>
  <si>
    <t xml:space="preserve">Not stated (invoices must reference contract/PO; tax exempt)</t>
  </si>
  <si>
    <t xml:space="preserve">Governmental entity; sovereign immunity preserved, indemnity/liability caps enforceable only as Texas law allows; funding-contingent</t>
  </si>
  <si>
    <t xml:space="preserve">Offer/Acceptance/Award contract 22309227-IG for peak-use MME rental across 6 departments (logistics, materials mgmt, PICU, NICU, OR, RT). Filed in Archive-Reference; may have been renewed under UH options but no renewal in this file.</t>
  </si>
  <si>
    <t xml:space="preserve">Veteran Affairs/RFP</t>
  </si>
  <si>
    <t xml:space="preserve">Veteran Affair_BTS_Exp_3_14_2024.pdf</t>
  </si>
  <si>
    <t xml:space="preserve">VA FSS 36F79719D0118 (Schedule 65IIA)</t>
  </si>
  <si>
    <t xml:space="preserve">2024-03-14 (original period)</t>
  </si>
  <si>
    <t xml:space="preserve">Government options to extend (later exercised)</t>
  </si>
  <si>
    <t xml:space="preserve">FSS prices; 23 purchase items at 29.26-34.00% discount, 37 rental items at 30.61-80.00% discount; tracking customer Premier GPO</t>
  </si>
  <si>
    <t xml:space="preserve">Economic Price Adjustment clause 552.216-70</t>
  </si>
  <si>
    <t xml:space="preserve">No annual rebate; Industrial Funding Fee included in prices</t>
  </si>
  <si>
    <t xml:space="preserve">No minimum order; max order $100,000 per SIN</t>
  </si>
  <si>
    <t xml:space="preserve">1% 20, Net 30 (excl. credit card)</t>
  </si>
  <si>
    <t xml:space="preserve">Price Reductions clause tied to Premier GPO ratio (0.43-0.99); FOB destination; 1-day ARO rental delivery, 6 hrs expedited</t>
  </si>
  <si>
    <t xml:space="preserve">Original Summary of Award for Freedom Medical VA FSS contract (beds, mattresses, transfer devices; rental and purchase). Header shows 36F79719D01181 vs 36F79719D0118 elsewhere. Superseded by extension mod P00010.</t>
  </si>
  <si>
    <t xml:space="preserve">Vizient Supply, LLC (f/k/a Novation, LLC)</t>
  </si>
  <si>
    <t xml:space="preserve">Vizient Price amendment Dec 2019.pdf</t>
  </si>
  <si>
    <t xml:space="preserve">US Med Equip, Inc</t>
  </si>
  <si>
    <t xml:space="preserve">Adds products to Exhibit A with Tier 1-3 daily and monthly rental prices (monitors, pumps, ventilators, etc.)</t>
  </si>
  <si>
    <t xml:space="preserve">Item/price amendment to Vizient CE7073 US Med-Equip Equipment Rental (dated 2019-10-01). Names 'US Med Equip, Inc' as a Texas LLC. Historical reference only.</t>
  </si>
  <si>
    <t xml:space="preserve">Vizient V60 amendment 10_22_2020.pdf</t>
  </si>
  <si>
    <t xml:space="preserve">Not stated (follows CE7073)</t>
  </si>
  <si>
    <t xml:space="preserve">Adds Philips V60 Plus BiPAP w/High Flow (item 22984): monthly $725.00/$685.04/$644.44, daily $25.89/$24.77/$23.02 (Tiers 1/2/3)</t>
  </si>
  <si>
    <t xml:space="preserve">Item/price amendment to Vizient CE7073 (dated 10/1/2019) adding V60 Plus BiPAP; signed 10/22/2020. Entity named 'US Med Equip, Inc' though described as LLC. Base agreement since replaced; reference only.</t>
  </si>
  <si>
    <t xml:space="preserve">Allegheny Health - Beds/Original Agreement as Reference</t>
  </si>
  <si>
    <t xml:space="preserve">Alleghey_BTS_amendment_enhancment Exp_4_30_2024.pdf</t>
  </si>
  <si>
    <t xml:space="preserve">Vizient CE3363AB (addendum to CE3363)</t>
  </si>
  <si>
    <t xml:space="preserve">2023-04-05</t>
  </si>
  <si>
    <t xml:space="preserve">Not stated (filename: 2024-04-30)</t>
  </si>
  <si>
    <t xml:space="preserve">Replaces Exhibit B with fixed daily rental rates per model (e.g., Freedom 500 $27.55/day, Freedom 1000 $55/day)</t>
  </si>
  <si>
    <t xml:space="preserve">Amendment replacing Exhibit B pricing on AHN addendum CE3363AB (base agreement CE3363 dated 2019-05-01; addendum 2021-09-15). Filename references expiration 4/30/2024 and folder marks it reference only.</t>
  </si>
  <si>
    <t xml:space="preserve">Source: all 275 files (273 PDF, 2 DOCX) in OneDrive "08 Company Data for Analysis/B. Customer Contracts", reviewed 10/10/2026.</t>
  </si>
  <si>
    <t xml:space="preserve">One row per document (amendments, extensions, SIPs and reference copies are listed separately; group by Customer Group to see a relationship).</t>
  </si>
  <si>
    <t xml:space="preserve">Text-based PDFs were read directly; 98 scanned PDFs were OCR'd (first 25 pages). OCR rows carry more risk of misread dates/percentages - see Confidence and Text Source columns.</t>
  </si>
  <si>
    <t xml:space="preserve">Fields were extracted from condensed text (opening pages plus keyword excerpts on term, renewal, termination, pricing, rebates, payment, liability). "Not stated" means not found in that text, not necessarily absent from the contract.</t>
  </si>
  <si>
    <t xml:space="preserve">Projected Term End: for Active contracts past their stated expiry whose text says they auto-renew in 1-year terms, the expiry is rolled forward by whole years to the next anniversary after the as-of date. It is a projection, not a stated date; Days to Expiry uses it when present. Confirm notice windows (see Renewal/Termination) before relying on it.</t>
  </si>
  <si>
    <t xml:space="preserve">Expiration Date = first date in the stated expiration; if the text gave none, the date in the file name is used (see Exp. Date Source).</t>
  </si>
  <si>
    <t xml:space="preserve">Status is as of the Summary as-of date and reflects stated term, auto-renewal language, and folder labels (Expired / Reference / Archive). "Likely Active - verify": HPG-7093 SIPs whose own dates lapsed but whose master agreement was extended to 7/31/2029.</t>
  </si>
  <si>
    <t xml:space="preserve">Action Watchlist = Active / Likely Active / Unclear documents with expiry on or before 10/10/2027 or no determinable expiry. It is a static snapshot; filter the Register on Days to Expiry for a live view.</t>
  </si>
  <si>
    <t xml:space="preserve">This is an operational summary, not legal review. Confirm critical terms against the signed document before acting.</t>
  </si>
</sst>
</file>

<file path=xl/styles.xml><?xml version="1.0" encoding="utf-8"?>
<styleSheet xmlns="http://schemas.openxmlformats.org/spreadsheetml/2006/main">
  <numFmts count="3">
    <numFmt numFmtId="164" formatCode="General"/>
    <numFmt numFmtId="165" formatCode="mm/dd/yyyy"/>
    <numFmt numFmtId="166" formatCode="#,##0;[RED]\(#,##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theme="1"/>
      <name val="Arial"/>
      <family val="0"/>
      <charset val="1"/>
    </font>
    <font>
      <b val="true"/>
      <sz val="11"/>
      <color rgb="FF0000FF"/>
      <name val="Arial"/>
      <family val="0"/>
      <charset val="1"/>
    </font>
    <font>
      <b val="true"/>
      <sz val="11"/>
      <color rgb="FF1F3864"/>
      <name val="Arial"/>
      <family val="0"/>
      <charset val="1"/>
    </font>
    <font>
      <b val="true"/>
      <sz val="10"/>
      <color rgb="FFFFFFFF"/>
      <name val="Arial"/>
      <family val="0"/>
      <charset val="1"/>
    </font>
    <font>
      <sz val="9"/>
      <name val="Arial"/>
      <family val="0"/>
      <charset val="1"/>
    </font>
    <font>
      <sz val="1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Register" displayName="Register" ref="A1:AA276" headerRowCount="1" totalsRowCount="0" totalsRowShown="0">
  <autoFilter ref="A1:AA276"/>
  <tableColumns count="27">
    <tableColumn id="1" name="Customer Group"/>
    <tableColumn id="2" name="Counterparty (as written)"/>
    <tableColumn id="3" name="Folder"/>
    <tableColumn id="4" name="File Name"/>
    <tableColumn id="5" name="Doc Type"/>
    <tableColumn id="6" name="Service Lines"/>
    <tableColumn id="7" name="GPO / Contract #"/>
    <tableColumn id="8" name="USME Entity"/>
    <tableColumn id="9" name="Effective Date"/>
    <tableColumn id="10" name="Expiration (as stated)"/>
    <tableColumn id="11" name="Expiration Date"/>
    <tableColumn id="12" name="Exp. Date Source"/>
    <tableColumn id="13" name="Projected Term End (auto-renew roll-fwd)"/>
    <tableColumn id="14" name="Days to Expiry"/>
    <tableColumn id="15" name="Status"/>
    <tableColumn id="16" name="Initial Term"/>
    <tableColumn id="17" name="Renewal"/>
    <tableColumn id="18" name="Termination"/>
    <tableColumn id="19" name="Pricing Basis"/>
    <tableColumn id="20" name="Price Increase / Escalator"/>
    <tableColumn id="21" name="Rebate / Admin Fee"/>
    <tableColumn id="22" name="Commitment / Exclusivity"/>
    <tableColumn id="23" name="Payment Terms"/>
    <tableColumn id="24" name="Liability / Risk Terms"/>
    <tableColumn id="25" name="Key Notes"/>
    <tableColumn id="26" name="Confidence"/>
    <tableColumn id="27" name="Text Source"/>
  </tableColumns>
</table>
</file>

<file path=xl/tables/table2.xml><?xml version="1.0" encoding="utf-8"?>
<table xmlns="http://schemas.openxmlformats.org/spreadsheetml/2006/main" id="2" name="Watchlist" displayName="Watchlist" ref="A1:AA91" headerRowCount="1" totalsRowCount="0" totalsRowShown="0">
  <autoFilter ref="A1:AA91"/>
  <tableColumns count="27">
    <tableColumn id="1" name="Customer Group"/>
    <tableColumn id="2" name="Counterparty (as written)"/>
    <tableColumn id="3" name="Folder"/>
    <tableColumn id="4" name="File Name"/>
    <tableColumn id="5" name="Doc Type"/>
    <tableColumn id="6" name="Service Lines"/>
    <tableColumn id="7" name="GPO / Contract #"/>
    <tableColumn id="8" name="USME Entity"/>
    <tableColumn id="9" name="Effective Date"/>
    <tableColumn id="10" name="Expiration (as stated)"/>
    <tableColumn id="11" name="Expiration Date"/>
    <tableColumn id="12" name="Exp. Date Source"/>
    <tableColumn id="13" name="Projected Term End (auto-renew roll-fwd)"/>
    <tableColumn id="14" name="Days to Expiry"/>
    <tableColumn id="15" name="Status"/>
    <tableColumn id="16" name="Initial Term"/>
    <tableColumn id="17" name="Renewal"/>
    <tableColumn id="18" name="Termination"/>
    <tableColumn id="19" name="Pricing Basis"/>
    <tableColumn id="20" name="Price Increase / Escalator"/>
    <tableColumn id="21" name="Rebate / Admin Fee"/>
    <tableColumn id="22" name="Commitment / Exclusivity"/>
    <tableColumn id="23" name="Payment Terms"/>
    <tableColumn id="24" name="Liability / Risk Terms"/>
    <tableColumn id="25" name="Key Notes"/>
    <tableColumn id="26" name="Confidence"/>
    <tableColumn id="27" name="Text 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2"/>
    <col collapsed="false" customWidth="true" hidden="false" outlineLevel="0" max="3" min="3" style="0" width="14"/>
    <col collapsed="false" customWidth="true" hidden="false" outlineLevel="0" max="4" min="4" style="0" width="60"/>
  </cols>
  <sheetData>
    <row r="1" customFormat="false" ht="17.35" hidden="false" customHeight="false" outlineLevel="0" collapsed="false">
      <c r="B1" s="1" t="s">
        <v>0</v>
      </c>
    </row>
    <row r="3" customFormat="false" ht="15" hidden="false" customHeight="false" outlineLevel="0" collapsed="false">
      <c r="B3" s="2" t="s">
        <v>1</v>
      </c>
      <c r="C3" s="3" t="n">
        <v>46305</v>
      </c>
      <c r="D3" s="2"/>
    </row>
    <row r="4" customFormat="false" ht="15" hidden="false" customHeight="false" outlineLevel="0" collapsed="false">
      <c r="B4" s="2" t="s">
        <v>2</v>
      </c>
      <c r="C4" s="2" t="n">
        <f aca="false">COUNTA(Register[File Name])</f>
        <v>275</v>
      </c>
      <c r="D4" s="2"/>
    </row>
    <row r="5" customFormat="false" ht="15" hidden="false" customHeight="false" outlineLevel="0" collapsed="false">
      <c r="B5" s="2"/>
      <c r="C5" s="2"/>
      <c r="D5" s="2"/>
    </row>
    <row r="6" customFormat="false" ht="15" hidden="false" customHeight="false" outlineLevel="0" collapsed="false">
      <c r="B6" s="4" t="s">
        <v>3</v>
      </c>
      <c r="C6" s="2"/>
      <c r="D6" s="2"/>
    </row>
    <row r="7" customFormat="false" ht="15" hidden="false" customHeight="false" outlineLevel="0" collapsed="false">
      <c r="B7" s="2" t="s">
        <v>4</v>
      </c>
      <c r="C7" s="2" t="n">
        <f aca="false">COUNTIF(Register[Status],B7)</f>
        <v>134</v>
      </c>
      <c r="D7" s="2"/>
    </row>
    <row r="8" customFormat="false" ht="15" hidden="false" customHeight="false" outlineLevel="0" collapsed="false">
      <c r="B8" s="2" t="s">
        <v>5</v>
      </c>
      <c r="C8" s="2" t="n">
        <f aca="false">COUNTIF(Register[Status],B8)</f>
        <v>18</v>
      </c>
      <c r="D8" s="2"/>
    </row>
    <row r="9" customFormat="false" ht="15" hidden="false" customHeight="false" outlineLevel="0" collapsed="false">
      <c r="B9" s="2" t="s">
        <v>6</v>
      </c>
      <c r="C9" s="2" t="n">
        <f aca="false">COUNTIF(Register[Status],B9)</f>
        <v>12</v>
      </c>
      <c r="D9" s="2"/>
    </row>
    <row r="10" customFormat="false" ht="15" hidden="false" customHeight="false" outlineLevel="0" collapsed="false">
      <c r="B10" s="2" t="s">
        <v>7</v>
      </c>
      <c r="C10" s="2" t="n">
        <f aca="false">COUNTIF(Register[Status],B10)</f>
        <v>85</v>
      </c>
      <c r="D10" s="2"/>
    </row>
    <row r="11" customFormat="false" ht="15" hidden="false" customHeight="false" outlineLevel="0" collapsed="false">
      <c r="B11" s="2" t="s">
        <v>8</v>
      </c>
      <c r="C11" s="2" t="n">
        <f aca="false">COUNTIF(Register[Status],B11)</f>
        <v>26</v>
      </c>
      <c r="D11" s="2"/>
    </row>
    <row r="12" customFormat="false" ht="15" hidden="false" customHeight="false" outlineLevel="0" collapsed="false">
      <c r="B12" s="2"/>
      <c r="C12" s="2"/>
      <c r="D12" s="2"/>
    </row>
    <row r="13" customFormat="false" ht="15" hidden="false" customHeight="false" outlineLevel="0" collapsed="false">
      <c r="B13" s="4" t="s">
        <v>9</v>
      </c>
      <c r="C13" s="2"/>
      <c r="D13" s="2"/>
    </row>
    <row r="14" customFormat="false" ht="15" hidden="false" customHeight="false" outlineLevel="0" collapsed="false">
      <c r="B14" s="2" t="s">
        <v>10</v>
      </c>
      <c r="C14" s="2" t="n">
        <f aca="false">COUNTIFS(Register[Status],"&lt;&gt;Expired",Register[Status],"&lt;&gt;Reference/Superseded",Register[Days to Expiry],"&gt;="&amp;-100000,Register[Days to Expiry],"&lt;="&amp;-1)</f>
        <v>35</v>
      </c>
      <c r="D14" s="2"/>
    </row>
    <row r="15" customFormat="false" ht="15" hidden="false" customHeight="false" outlineLevel="0" collapsed="false">
      <c r="B15" s="2" t="s">
        <v>11</v>
      </c>
      <c r="C15" s="2" t="n">
        <f aca="false">COUNTIFS(Register[Status],"&lt;&gt;Expired",Register[Status],"&lt;&gt;Reference/Superseded",Register[Days to Expiry],"&gt;="&amp;0,Register[Days to Expiry],"&lt;="&amp;90)</f>
        <v>10</v>
      </c>
      <c r="D15" s="2"/>
    </row>
    <row r="16" customFormat="false" ht="15" hidden="false" customHeight="false" outlineLevel="0" collapsed="false">
      <c r="B16" s="2" t="s">
        <v>12</v>
      </c>
      <c r="C16" s="2" t="n">
        <f aca="false">COUNTIFS(Register[Status],"&lt;&gt;Expired",Register[Status],"&lt;&gt;Reference/Superseded",Register[Days to Expiry],"&gt;="&amp;91,Register[Days to Expiry],"&lt;="&amp;180)</f>
        <v>10</v>
      </c>
      <c r="D16" s="2"/>
    </row>
    <row r="17" customFormat="false" ht="15" hidden="false" customHeight="false" outlineLevel="0" collapsed="false">
      <c r="B17" s="2" t="s">
        <v>13</v>
      </c>
      <c r="C17" s="2" t="n">
        <f aca="false">COUNTIFS(Register[Status],"&lt;&gt;Expired",Register[Status],"&lt;&gt;Reference/Superseded",Register[Days to Expiry],"&gt;="&amp;181,Register[Days to Expiry],"&lt;="&amp;365)</f>
        <v>30</v>
      </c>
      <c r="D17" s="2"/>
    </row>
    <row r="18" customFormat="false" ht="15" hidden="false" customHeight="false" outlineLevel="0" collapsed="false">
      <c r="B18" s="2" t="s">
        <v>14</v>
      </c>
      <c r="C18" s="2" t="n">
        <f aca="false">COUNTIFS(Register[Status],"&lt;&gt;Expired",Register[Status],"&lt;&gt;Reference/Superseded",Register[Days to Expiry],"&gt;="&amp;366,Register[Days to Expiry],"&lt;="&amp;100000)</f>
        <v>74</v>
      </c>
      <c r="D18" s="2"/>
    </row>
    <row r="19" customFormat="false" ht="15" hidden="false" customHeight="false" outlineLevel="0" collapsed="false">
      <c r="B19" s="2" t="s">
        <v>15</v>
      </c>
      <c r="C19" s="2" t="n">
        <f aca="false">COUNTIFS(Register[Status],"&lt;&gt;Expired",Register[Status],"&lt;&gt;Reference/Superseded",Register[Expiration Date],"")</f>
        <v>5</v>
      </c>
      <c r="D19" s="2"/>
    </row>
    <row r="20" customFormat="false" ht="15" hidden="false" customHeight="false" outlineLevel="0" collapsed="false">
      <c r="B20" s="2"/>
      <c r="C20" s="2"/>
      <c r="D20" s="2"/>
    </row>
    <row r="21" customFormat="false" ht="15" hidden="false" customHeight="false" outlineLevel="0" collapsed="false">
      <c r="B21" s="4" t="s">
        <v>16</v>
      </c>
      <c r="C21" s="2"/>
      <c r="D21" s="2"/>
    </row>
    <row r="22" customFormat="false" ht="15" hidden="false" customHeight="false" outlineLevel="0" collapsed="false">
      <c r="B22" s="2" t="s">
        <v>17</v>
      </c>
      <c r="C22" s="2" t="n">
        <f aca="false">COUNTIF(Register[Doc Type],B22)</f>
        <v>45</v>
      </c>
      <c r="D22" s="2"/>
    </row>
    <row r="23" customFormat="false" ht="15" hidden="false" customHeight="false" outlineLevel="0" collapsed="false">
      <c r="B23" s="2" t="s">
        <v>18</v>
      </c>
      <c r="C23" s="2" t="n">
        <f aca="false">COUNTIF(Register[Doc Type],B23)</f>
        <v>23</v>
      </c>
      <c r="D23" s="2"/>
    </row>
    <row r="24" customFormat="false" ht="15" hidden="false" customHeight="false" outlineLevel="0" collapsed="false">
      <c r="B24" s="2" t="s">
        <v>19</v>
      </c>
      <c r="C24" s="2" t="n">
        <f aca="false">COUNTIF(Register[Doc Type],B24)</f>
        <v>34</v>
      </c>
      <c r="D24" s="2"/>
    </row>
    <row r="25" customFormat="false" ht="15" hidden="false" customHeight="false" outlineLevel="0" collapsed="false">
      <c r="B25" s="2" t="s">
        <v>20</v>
      </c>
      <c r="C25" s="2" t="n">
        <f aca="false">COUNTIF(Register[Doc Type],B25)</f>
        <v>34</v>
      </c>
      <c r="D25" s="2"/>
    </row>
    <row r="26" customFormat="false" ht="15" hidden="false" customHeight="false" outlineLevel="0" collapsed="false">
      <c r="B26" s="2" t="s">
        <v>21</v>
      </c>
      <c r="C26" s="2" t="n">
        <f aca="false">COUNTIF(Register[Doc Type],B26)</f>
        <v>100</v>
      </c>
      <c r="D26" s="2"/>
    </row>
    <row r="27" customFormat="false" ht="15" hidden="false" customHeight="false" outlineLevel="0" collapsed="false">
      <c r="B27" s="2" t="s">
        <v>22</v>
      </c>
      <c r="C27" s="2" t="n">
        <f aca="false">COUNTIF(Register[Doc Type],B27)</f>
        <v>1</v>
      </c>
      <c r="D27" s="2"/>
    </row>
    <row r="28" customFormat="false" ht="15" hidden="false" customHeight="false" outlineLevel="0" collapsed="false">
      <c r="B28" s="2" t="s">
        <v>23</v>
      </c>
      <c r="C28" s="2" t="n">
        <f aca="false">COUNTIF(Register[Doc Type],B28)</f>
        <v>5</v>
      </c>
      <c r="D28" s="2"/>
    </row>
    <row r="29" customFormat="false" ht="15" hidden="false" customHeight="false" outlineLevel="0" collapsed="false">
      <c r="B29" s="2" t="s">
        <v>24</v>
      </c>
      <c r="C29" s="2" t="n">
        <f aca="false">COUNTIF(Register[Doc Type],B29)</f>
        <v>7</v>
      </c>
      <c r="D29" s="2"/>
    </row>
    <row r="30" customFormat="false" ht="15" hidden="false" customHeight="false" outlineLevel="0" collapsed="false">
      <c r="B30" s="2" t="s">
        <v>25</v>
      </c>
      <c r="C30" s="2" t="n">
        <f aca="false">COUNTIF(Register[Doc Type],B30)</f>
        <v>10</v>
      </c>
      <c r="D30" s="2"/>
    </row>
    <row r="31" customFormat="false" ht="15" hidden="false" customHeight="false" outlineLevel="0" collapsed="false">
      <c r="B31" s="2" t="s">
        <v>26</v>
      </c>
      <c r="C31" s="2" t="n">
        <f aca="false">COUNTIF(Register[Doc Type],B31)</f>
        <v>16</v>
      </c>
      <c r="D31" s="2"/>
    </row>
    <row r="32" customFormat="false" ht="15" hidden="false" customHeight="false" outlineLevel="0" collapsed="false">
      <c r="B32" s="2"/>
      <c r="C32" s="2"/>
      <c r="D32" s="2"/>
    </row>
    <row r="33" customFormat="false" ht="15" hidden="false" customHeight="false" outlineLevel="0" collapsed="false">
      <c r="B33" s="4" t="s">
        <v>27</v>
      </c>
      <c r="C33" s="2"/>
      <c r="D33" s="2"/>
    </row>
    <row r="34" customFormat="false" ht="15" hidden="false" customHeight="false" outlineLevel="0" collapsed="false">
      <c r="B34" s="2" t="s">
        <v>28</v>
      </c>
      <c r="C34" s="2" t="n">
        <f aca="false">COUNTIF(Register[Confidence],"High")</f>
        <v>172</v>
      </c>
      <c r="D34" s="2"/>
    </row>
    <row r="35" customFormat="false" ht="15" hidden="false" customHeight="false" outlineLevel="0" collapsed="false">
      <c r="B35" s="2" t="s">
        <v>29</v>
      </c>
      <c r="C35" s="2" t="n">
        <f aca="false">COUNTIF(Register[Confidence],"Medium")</f>
        <v>101</v>
      </c>
      <c r="D35" s="2"/>
    </row>
    <row r="36" customFormat="false" ht="15" hidden="false" customHeight="false" outlineLevel="0" collapsed="false">
      <c r="B36" s="2" t="s">
        <v>30</v>
      </c>
      <c r="C36" s="2" t="n">
        <f aca="false">COUNTIF(Register[Confidence],"Low")</f>
        <v>2</v>
      </c>
      <c r="D36" s="2"/>
    </row>
    <row r="37" customFormat="false" ht="15" hidden="false" customHeight="false" outlineLevel="0" collapsed="false">
      <c r="B37" s="2" t="s">
        <v>31</v>
      </c>
      <c r="C37" s="2" t="n">
        <f aca="false">COUNTIF(Register[Text Source],"OCR")</f>
        <v>98</v>
      </c>
      <c r="D3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6"/>
    <col collapsed="false" customWidth="true" hidden="false" outlineLevel="0" max="4" min="4" style="0" width="34"/>
    <col collapsed="false" customWidth="true" hidden="false" outlineLevel="0" max="7" min="5" style="0" width="20"/>
    <col collapsed="false" customWidth="true" hidden="false" outlineLevel="0" max="8" min="8" style="0" width="18"/>
    <col collapsed="false" customWidth="true" hidden="false" outlineLevel="0" max="9" min="9" style="0" width="14"/>
    <col collapsed="false" customWidth="true" hidden="false" outlineLevel="0" max="10" min="10" style="0" width="22"/>
    <col collapsed="false" customWidth="true" hidden="false" outlineLevel="0" max="11" min="11" style="0" width="12"/>
    <col collapsed="false" customWidth="true" hidden="false" outlineLevel="0" max="12" min="12" style="0" width="11"/>
    <col collapsed="false" customWidth="true" hidden="false" outlineLevel="0" max="13" min="13" style="0" width="14"/>
    <col collapsed="false" customWidth="true" hidden="false" outlineLevel="0" max="14" min="14" style="0" width="10"/>
    <col collapsed="false" customWidth="true" hidden="false" outlineLevel="0" max="15" min="15" style="0" width="16"/>
    <col collapsed="false" customWidth="true" hidden="false" outlineLevel="0" max="16" min="16" style="0" width="14"/>
    <col collapsed="false" customWidth="true" hidden="false" outlineLevel="0" max="17" min="17" style="0" width="28"/>
    <col collapsed="false" customWidth="true" hidden="false" outlineLevel="0" max="18" min="18" style="0" width="30"/>
    <col collapsed="false" customWidth="true" hidden="false" outlineLevel="0" max="19" min="19" style="0" width="34"/>
    <col collapsed="false" customWidth="true" hidden="false" outlineLevel="0" max="20" min="20" style="0" width="28"/>
    <col collapsed="false" customWidth="true" hidden="false" outlineLevel="0" max="21" min="21" style="0" width="30"/>
    <col collapsed="false" customWidth="true" hidden="false" outlineLevel="0" max="22" min="22" style="0" width="28"/>
    <col collapsed="false" customWidth="true" hidden="false" outlineLevel="0" max="23" min="23" style="0" width="18"/>
    <col collapsed="false" customWidth="true" hidden="false" outlineLevel="0" max="24" min="24" style="0" width="36"/>
    <col collapsed="false" customWidth="true" hidden="false" outlineLevel="0" max="25" min="25" style="0" width="48"/>
    <col collapsed="false" customWidth="true" hidden="false" outlineLevel="0" max="26" min="26" style="0" width="10"/>
    <col collapsed="false" customWidth="true" hidden="false" outlineLevel="0" max="27" min="27" style="0" width="8"/>
  </cols>
  <sheetData>
    <row r="1" customFormat="false" ht="30" hidden="false" customHeight="true" outlineLevel="0" collapsed="false">
      <c r="A1" s="5" t="s">
        <v>32</v>
      </c>
      <c r="B1" s="5" t="s">
        <v>33</v>
      </c>
      <c r="C1" s="5" t="s">
        <v>34</v>
      </c>
      <c r="D1" s="5" t="s">
        <v>35</v>
      </c>
      <c r="E1" s="5" t="s">
        <v>36</v>
      </c>
      <c r="F1" s="5" t="s">
        <v>37</v>
      </c>
      <c r="G1" s="5" t="s">
        <v>38</v>
      </c>
      <c r="H1" s="5" t="s">
        <v>39</v>
      </c>
      <c r="I1" s="5" t="s">
        <v>40</v>
      </c>
      <c r="J1" s="5" t="s">
        <v>41</v>
      </c>
      <c r="K1" s="5" t="s">
        <v>42</v>
      </c>
      <c r="L1" s="5" t="s">
        <v>43</v>
      </c>
      <c r="M1" s="5" t="s">
        <v>44</v>
      </c>
      <c r="N1" s="5" t="s">
        <v>45</v>
      </c>
      <c r="O1" s="5" t="s">
        <v>46</v>
      </c>
      <c r="P1" s="5" t="s">
        <v>47</v>
      </c>
      <c r="Q1" s="5" t="s">
        <v>48</v>
      </c>
      <c r="R1" s="5" t="s">
        <v>49</v>
      </c>
      <c r="S1" s="5" t="s">
        <v>50</v>
      </c>
      <c r="T1" s="5" t="s">
        <v>51</v>
      </c>
      <c r="U1" s="5" t="s">
        <v>52</v>
      </c>
      <c r="V1" s="5" t="s">
        <v>53</v>
      </c>
      <c r="W1" s="5" t="s">
        <v>54</v>
      </c>
      <c r="X1" s="5" t="s">
        <v>55</v>
      </c>
      <c r="Y1" s="5" t="s">
        <v>56</v>
      </c>
      <c r="Z1" s="5" t="s">
        <v>57</v>
      </c>
      <c r="AA1" s="5" t="s">
        <v>58</v>
      </c>
    </row>
    <row r="2" customFormat="false" ht="53.7" hidden="false" customHeight="false" outlineLevel="0" collapsed="false">
      <c r="A2" s="6" t="s">
        <v>59</v>
      </c>
      <c r="B2" s="6" t="s">
        <v>60</v>
      </c>
      <c r="C2" s="6" t="s">
        <v>61</v>
      </c>
      <c r="D2" s="6" t="s">
        <v>62</v>
      </c>
      <c r="E2" s="6" t="s">
        <v>19</v>
      </c>
      <c r="F2" s="6" t="s">
        <v>63</v>
      </c>
      <c r="G2" s="6" t="s">
        <v>64</v>
      </c>
      <c r="H2" s="6" t="s">
        <v>65</v>
      </c>
      <c r="I2" s="6" t="s">
        <v>66</v>
      </c>
      <c r="J2" s="6" t="s">
        <v>67</v>
      </c>
      <c r="K2" s="7" t="n">
        <v>46856</v>
      </c>
      <c r="L2" s="6" t="s">
        <v>68</v>
      </c>
      <c r="M2" s="7"/>
      <c r="N2" s="8" t="n">
        <f aca="false">IF(M2&lt;&gt;"",M2-Summary!$C$3,IF(K2="","",K2-Summary!$C$3))</f>
        <v>551</v>
      </c>
      <c r="O2" s="6" t="s">
        <v>4</v>
      </c>
      <c r="P2" s="6" t="s">
        <v>69</v>
      </c>
      <c r="Q2" s="6" t="s">
        <v>70</v>
      </c>
      <c r="R2" s="6" t="s">
        <v>71</v>
      </c>
      <c r="S2" s="6" t="s">
        <v>72</v>
      </c>
      <c r="T2" s="6" t="s">
        <v>73</v>
      </c>
      <c r="U2" s="6" t="s">
        <v>74</v>
      </c>
      <c r="V2" s="6" t="s">
        <v>75</v>
      </c>
      <c r="W2" s="6" t="s">
        <v>76</v>
      </c>
      <c r="X2" s="6" t="s">
        <v>77</v>
      </c>
      <c r="Y2" s="6" t="s">
        <v>78</v>
      </c>
      <c r="Z2" s="6" t="s">
        <v>79</v>
      </c>
      <c r="AA2" s="6" t="s">
        <v>80</v>
      </c>
    </row>
    <row r="3" customFormat="false" ht="53.7" hidden="false" customHeight="false" outlineLevel="0" collapsed="false">
      <c r="A3" s="6" t="s">
        <v>81</v>
      </c>
      <c r="B3" s="6" t="s">
        <v>82</v>
      </c>
      <c r="C3" s="6" t="s">
        <v>81</v>
      </c>
      <c r="D3" s="6" t="s">
        <v>83</v>
      </c>
      <c r="E3" s="6" t="s">
        <v>17</v>
      </c>
      <c r="F3" s="6" t="s">
        <v>84</v>
      </c>
      <c r="G3" s="6" t="s">
        <v>85</v>
      </c>
      <c r="H3" s="6" t="s">
        <v>65</v>
      </c>
      <c r="I3" s="6" t="s">
        <v>86</v>
      </c>
      <c r="J3" s="6" t="s">
        <v>87</v>
      </c>
      <c r="K3" s="7"/>
      <c r="L3" s="6" t="s">
        <v>88</v>
      </c>
      <c r="M3" s="7"/>
      <c r="N3" s="8" t="str">
        <f aca="false">IF(M3&lt;&gt;"",M3-Summary!$C$3,IF(K3="","",K3-Summary!$C$3))</f>
        <v/>
      </c>
      <c r="O3" s="6" t="s">
        <v>4</v>
      </c>
      <c r="P3" s="6" t="s">
        <v>89</v>
      </c>
      <c r="Q3" s="6" t="s">
        <v>89</v>
      </c>
      <c r="R3" s="6" t="s">
        <v>89</v>
      </c>
      <c r="S3" s="6" t="s">
        <v>90</v>
      </c>
      <c r="T3" s="6" t="s">
        <v>89</v>
      </c>
      <c r="U3" s="6" t="s">
        <v>89</v>
      </c>
      <c r="V3" s="6" t="s">
        <v>89</v>
      </c>
      <c r="W3" s="6" t="s">
        <v>89</v>
      </c>
      <c r="X3" s="6" t="s">
        <v>89</v>
      </c>
      <c r="Y3" s="6" t="s">
        <v>91</v>
      </c>
      <c r="Z3" s="6" t="s">
        <v>79</v>
      </c>
      <c r="AA3" s="6" t="s">
        <v>80</v>
      </c>
    </row>
    <row r="4" customFormat="false" ht="53.7" hidden="false" customHeight="false" outlineLevel="0" collapsed="false">
      <c r="A4" s="6" t="s">
        <v>81</v>
      </c>
      <c r="B4" s="6" t="s">
        <v>82</v>
      </c>
      <c r="C4" s="6" t="s">
        <v>81</v>
      </c>
      <c r="D4" s="6" t="s">
        <v>92</v>
      </c>
      <c r="E4" s="6" t="s">
        <v>20</v>
      </c>
      <c r="F4" s="6" t="s">
        <v>93</v>
      </c>
      <c r="G4" s="6" t="s">
        <v>94</v>
      </c>
      <c r="H4" s="6" t="s">
        <v>65</v>
      </c>
      <c r="I4" s="6" t="s">
        <v>86</v>
      </c>
      <c r="J4" s="6" t="s">
        <v>95</v>
      </c>
      <c r="K4" s="7" t="n">
        <v>47908</v>
      </c>
      <c r="L4" s="6" t="s">
        <v>68</v>
      </c>
      <c r="M4" s="7"/>
      <c r="N4" s="8" t="n">
        <f aca="false">IF(M4&lt;&gt;"",M4-Summary!$C$3,IF(K4="","",K4-Summary!$C$3))</f>
        <v>1603</v>
      </c>
      <c r="O4" s="6" t="s">
        <v>4</v>
      </c>
      <c r="P4" s="6" t="s">
        <v>96</v>
      </c>
      <c r="Q4" s="6" t="s">
        <v>97</v>
      </c>
      <c r="R4" s="6" t="s">
        <v>98</v>
      </c>
      <c r="S4" s="6" t="s">
        <v>99</v>
      </c>
      <c r="T4" s="6" t="s">
        <v>100</v>
      </c>
      <c r="U4" s="6" t="s">
        <v>101</v>
      </c>
      <c r="V4" s="6" t="s">
        <v>102</v>
      </c>
      <c r="W4" s="6" t="s">
        <v>103</v>
      </c>
      <c r="X4" s="6" t="s">
        <v>104</v>
      </c>
      <c r="Y4" s="6" t="s">
        <v>105</v>
      </c>
      <c r="Z4" s="6" t="s">
        <v>79</v>
      </c>
      <c r="AA4" s="6" t="s">
        <v>80</v>
      </c>
    </row>
    <row r="5" customFormat="false" ht="64.15" hidden="false" customHeight="false" outlineLevel="0" collapsed="false">
      <c r="A5" s="6" t="s">
        <v>81</v>
      </c>
      <c r="B5" s="6" t="s">
        <v>82</v>
      </c>
      <c r="C5" s="6" t="s">
        <v>81</v>
      </c>
      <c r="D5" s="6" t="s">
        <v>106</v>
      </c>
      <c r="E5" s="6" t="s">
        <v>25</v>
      </c>
      <c r="F5" s="6" t="s">
        <v>93</v>
      </c>
      <c r="G5" s="6" t="s">
        <v>107</v>
      </c>
      <c r="H5" s="6" t="s">
        <v>65</v>
      </c>
      <c r="I5" s="6" t="s">
        <v>108</v>
      </c>
      <c r="J5" s="6" t="s">
        <v>95</v>
      </c>
      <c r="K5" s="7" t="n">
        <v>47908</v>
      </c>
      <c r="L5" s="6" t="s">
        <v>68</v>
      </c>
      <c r="M5" s="7"/>
      <c r="N5" s="8" t="n">
        <f aca="false">IF(M5&lt;&gt;"",M5-Summary!$C$3,IF(K5="","",K5-Summary!$C$3))</f>
        <v>1603</v>
      </c>
      <c r="O5" s="6" t="s">
        <v>4</v>
      </c>
      <c r="P5" s="6" t="s">
        <v>109</v>
      </c>
      <c r="Q5" s="6" t="s">
        <v>110</v>
      </c>
      <c r="R5" s="6" t="s">
        <v>111</v>
      </c>
      <c r="S5" s="6" t="s">
        <v>112</v>
      </c>
      <c r="T5" s="6" t="s">
        <v>89</v>
      </c>
      <c r="U5" s="6" t="s">
        <v>113</v>
      </c>
      <c r="V5" s="6" t="s">
        <v>114</v>
      </c>
      <c r="W5" s="6" t="s">
        <v>115</v>
      </c>
      <c r="X5" s="6" t="s">
        <v>116</v>
      </c>
      <c r="Y5" s="6" t="s">
        <v>117</v>
      </c>
      <c r="Z5" s="6" t="s">
        <v>79</v>
      </c>
      <c r="AA5" s="6" t="s">
        <v>80</v>
      </c>
    </row>
    <row r="6" customFormat="false" ht="43.25" hidden="false" customHeight="false" outlineLevel="0" collapsed="false">
      <c r="A6" s="6" t="s">
        <v>118</v>
      </c>
      <c r="B6" s="6" t="s">
        <v>119</v>
      </c>
      <c r="C6" s="6" t="s">
        <v>120</v>
      </c>
      <c r="D6" s="6" t="s">
        <v>121</v>
      </c>
      <c r="E6" s="6" t="s">
        <v>17</v>
      </c>
      <c r="F6" s="6" t="s">
        <v>63</v>
      </c>
      <c r="G6" s="6" t="s">
        <v>122</v>
      </c>
      <c r="H6" s="6" t="s">
        <v>65</v>
      </c>
      <c r="I6" s="6" t="s">
        <v>108</v>
      </c>
      <c r="J6" s="6" t="s">
        <v>123</v>
      </c>
      <c r="K6" s="7" t="n">
        <v>47208</v>
      </c>
      <c r="L6" s="6" t="s">
        <v>68</v>
      </c>
      <c r="M6" s="7"/>
      <c r="N6" s="8" t="n">
        <f aca="false">IF(M6&lt;&gt;"",M6-Summary!$C$3,IF(K6="","",K6-Summary!$C$3))</f>
        <v>903</v>
      </c>
      <c r="O6" s="6" t="s">
        <v>4</v>
      </c>
      <c r="P6" s="6" t="s">
        <v>89</v>
      </c>
      <c r="Q6" s="6" t="s">
        <v>124</v>
      </c>
      <c r="R6" s="6" t="s">
        <v>89</v>
      </c>
      <c r="S6" s="6" t="s">
        <v>125</v>
      </c>
      <c r="T6" s="6" t="s">
        <v>89</v>
      </c>
      <c r="U6" s="6" t="s">
        <v>89</v>
      </c>
      <c r="V6" s="6" t="s">
        <v>89</v>
      </c>
      <c r="W6" s="6" t="s">
        <v>89</v>
      </c>
      <c r="X6" s="6" t="s">
        <v>126</v>
      </c>
      <c r="Y6" s="6" t="s">
        <v>127</v>
      </c>
      <c r="Z6" s="6" t="s">
        <v>128</v>
      </c>
      <c r="AA6" s="6" t="s">
        <v>80</v>
      </c>
    </row>
    <row r="7" customFormat="false" ht="64.15" hidden="false" customHeight="false" outlineLevel="0" collapsed="false">
      <c r="A7" s="6" t="s">
        <v>118</v>
      </c>
      <c r="B7" s="6" t="s">
        <v>119</v>
      </c>
      <c r="C7" s="6" t="s">
        <v>129</v>
      </c>
      <c r="D7" s="6" t="s">
        <v>130</v>
      </c>
      <c r="E7" s="6" t="s">
        <v>21</v>
      </c>
      <c r="F7" s="6" t="s">
        <v>131</v>
      </c>
      <c r="G7" s="6" t="s">
        <v>132</v>
      </c>
      <c r="H7" s="6" t="s">
        <v>65</v>
      </c>
      <c r="I7" s="6" t="s">
        <v>108</v>
      </c>
      <c r="J7" s="6" t="s">
        <v>133</v>
      </c>
      <c r="K7" s="7" t="n">
        <v>47208</v>
      </c>
      <c r="L7" s="6" t="s">
        <v>68</v>
      </c>
      <c r="M7" s="7"/>
      <c r="N7" s="8" t="n">
        <f aca="false">IF(M7&lt;&gt;"",M7-Summary!$C$3,IF(K7="","",K7-Summary!$C$3))</f>
        <v>903</v>
      </c>
      <c r="O7" s="6" t="s">
        <v>4</v>
      </c>
      <c r="P7" s="6" t="s">
        <v>69</v>
      </c>
      <c r="Q7" s="6" t="s">
        <v>134</v>
      </c>
      <c r="R7" s="6" t="s">
        <v>135</v>
      </c>
      <c r="S7" s="6" t="s">
        <v>136</v>
      </c>
      <c r="T7" s="6" t="s">
        <v>137</v>
      </c>
      <c r="U7" s="6" t="s">
        <v>138</v>
      </c>
      <c r="V7" s="6" t="s">
        <v>139</v>
      </c>
      <c r="W7" s="6" t="s">
        <v>140</v>
      </c>
      <c r="X7" s="6" t="s">
        <v>141</v>
      </c>
      <c r="Y7" s="6" t="s">
        <v>142</v>
      </c>
      <c r="Z7" s="6" t="s">
        <v>79</v>
      </c>
      <c r="AA7" s="6" t="s">
        <v>80</v>
      </c>
    </row>
    <row r="8" customFormat="false" ht="64.15" hidden="false" customHeight="false" outlineLevel="0" collapsed="false">
      <c r="A8" s="6" t="s">
        <v>143</v>
      </c>
      <c r="B8" s="6" t="s">
        <v>144</v>
      </c>
      <c r="C8" s="6" t="s">
        <v>145</v>
      </c>
      <c r="D8" s="6" t="s">
        <v>146</v>
      </c>
      <c r="E8" s="6" t="s">
        <v>21</v>
      </c>
      <c r="F8" s="6" t="s">
        <v>147</v>
      </c>
      <c r="G8" s="6" t="s">
        <v>122</v>
      </c>
      <c r="H8" s="6" t="s">
        <v>65</v>
      </c>
      <c r="I8" s="6" t="s">
        <v>148</v>
      </c>
      <c r="J8" s="6" t="s">
        <v>149</v>
      </c>
      <c r="K8" s="7" t="n">
        <v>47726</v>
      </c>
      <c r="L8" s="6" t="s">
        <v>68</v>
      </c>
      <c r="M8" s="7"/>
      <c r="N8" s="8" t="n">
        <f aca="false">IF(M8&lt;&gt;"",M8-Summary!$C$3,IF(K8="","",K8-Summary!$C$3))</f>
        <v>1421</v>
      </c>
      <c r="O8" s="6" t="s">
        <v>4</v>
      </c>
      <c r="P8" s="6" t="s">
        <v>150</v>
      </c>
      <c r="Q8" s="6" t="s">
        <v>134</v>
      </c>
      <c r="R8" s="6" t="s">
        <v>151</v>
      </c>
      <c r="S8" s="6" t="s">
        <v>152</v>
      </c>
      <c r="T8" s="6" t="s">
        <v>153</v>
      </c>
      <c r="U8" s="6" t="s">
        <v>89</v>
      </c>
      <c r="V8" s="6" t="s">
        <v>154</v>
      </c>
      <c r="W8" s="6" t="s">
        <v>155</v>
      </c>
      <c r="X8" s="6" t="s">
        <v>156</v>
      </c>
      <c r="Y8" s="6" t="s">
        <v>157</v>
      </c>
      <c r="Z8" s="6" t="s">
        <v>79</v>
      </c>
      <c r="AA8" s="6" t="s">
        <v>80</v>
      </c>
    </row>
    <row r="9" customFormat="false" ht="53.7" hidden="false" customHeight="false" outlineLevel="0" collapsed="false">
      <c r="A9" s="6" t="s">
        <v>158</v>
      </c>
      <c r="B9" s="6" t="s">
        <v>159</v>
      </c>
      <c r="C9" s="6" t="s">
        <v>160</v>
      </c>
      <c r="D9" s="6" t="s">
        <v>161</v>
      </c>
      <c r="E9" s="6" t="s">
        <v>21</v>
      </c>
      <c r="F9" s="6" t="s">
        <v>162</v>
      </c>
      <c r="G9" s="6" t="s">
        <v>122</v>
      </c>
      <c r="H9" s="6" t="s">
        <v>65</v>
      </c>
      <c r="I9" s="6" t="s">
        <v>163</v>
      </c>
      <c r="J9" s="6" t="s">
        <v>164</v>
      </c>
      <c r="K9" s="7" t="n">
        <v>47542</v>
      </c>
      <c r="L9" s="6" t="s">
        <v>68</v>
      </c>
      <c r="M9" s="7"/>
      <c r="N9" s="8" t="n">
        <f aca="false">IF(M9&lt;&gt;"",M9-Summary!$C$3,IF(K9="","",K9-Summary!$C$3))</f>
        <v>1237</v>
      </c>
      <c r="O9" s="6" t="s">
        <v>4</v>
      </c>
      <c r="P9" s="6" t="s">
        <v>150</v>
      </c>
      <c r="Q9" s="6" t="s">
        <v>134</v>
      </c>
      <c r="R9" s="6" t="s">
        <v>165</v>
      </c>
      <c r="S9" s="6" t="s">
        <v>166</v>
      </c>
      <c r="T9" s="6" t="s">
        <v>89</v>
      </c>
      <c r="U9" s="6" t="s">
        <v>89</v>
      </c>
      <c r="V9" s="6" t="s">
        <v>167</v>
      </c>
      <c r="W9" s="6" t="s">
        <v>168</v>
      </c>
      <c r="X9" s="6" t="s">
        <v>169</v>
      </c>
      <c r="Y9" s="6" t="s">
        <v>170</v>
      </c>
      <c r="Z9" s="6" t="s">
        <v>79</v>
      </c>
      <c r="AA9" s="6" t="s">
        <v>80</v>
      </c>
    </row>
    <row r="10" customFormat="false" ht="43.25" hidden="false" customHeight="false" outlineLevel="0" collapsed="false">
      <c r="A10" s="6" t="s">
        <v>171</v>
      </c>
      <c r="B10" s="6" t="s">
        <v>172</v>
      </c>
      <c r="C10" s="6" t="s">
        <v>173</v>
      </c>
      <c r="D10" s="6" t="s">
        <v>174</v>
      </c>
      <c r="E10" s="6" t="s">
        <v>17</v>
      </c>
      <c r="F10" s="6" t="s">
        <v>147</v>
      </c>
      <c r="G10" s="6" t="s">
        <v>175</v>
      </c>
      <c r="H10" s="6" t="s">
        <v>65</v>
      </c>
      <c r="I10" s="6" t="s">
        <v>163</v>
      </c>
      <c r="J10" s="6" t="s">
        <v>176</v>
      </c>
      <c r="K10" s="7" t="n">
        <v>46812</v>
      </c>
      <c r="L10" s="6" t="s">
        <v>68</v>
      </c>
      <c r="M10" s="7"/>
      <c r="N10" s="8" t="n">
        <f aca="false">IF(M10&lt;&gt;"",M10-Summary!$C$3,IF(K10="","",K10-Summary!$C$3))</f>
        <v>507</v>
      </c>
      <c r="O10" s="6" t="s">
        <v>4</v>
      </c>
      <c r="P10" s="6" t="s">
        <v>177</v>
      </c>
      <c r="Q10" s="6" t="s">
        <v>110</v>
      </c>
      <c r="R10" s="6" t="s">
        <v>178</v>
      </c>
      <c r="S10" s="6" t="s">
        <v>179</v>
      </c>
      <c r="T10" s="6" t="s">
        <v>89</v>
      </c>
      <c r="U10" s="6" t="s">
        <v>89</v>
      </c>
      <c r="V10" s="6" t="s">
        <v>89</v>
      </c>
      <c r="W10" s="6" t="s">
        <v>89</v>
      </c>
      <c r="X10" s="6" t="s">
        <v>89</v>
      </c>
      <c r="Y10" s="6" t="s">
        <v>180</v>
      </c>
      <c r="Z10" s="6" t="s">
        <v>79</v>
      </c>
      <c r="AA10" s="6" t="s">
        <v>80</v>
      </c>
    </row>
    <row r="11" customFormat="false" ht="53.7" hidden="false" customHeight="false" outlineLevel="0" collapsed="false">
      <c r="A11" s="6" t="s">
        <v>181</v>
      </c>
      <c r="B11" s="6" t="s">
        <v>182</v>
      </c>
      <c r="C11" s="6" t="s">
        <v>183</v>
      </c>
      <c r="D11" s="6" t="s">
        <v>184</v>
      </c>
      <c r="E11" s="6" t="s">
        <v>21</v>
      </c>
      <c r="F11" s="6" t="s">
        <v>93</v>
      </c>
      <c r="G11" s="6" t="s">
        <v>122</v>
      </c>
      <c r="H11" s="6" t="s">
        <v>65</v>
      </c>
      <c r="I11" s="6" t="s">
        <v>163</v>
      </c>
      <c r="J11" s="6" t="s">
        <v>185</v>
      </c>
      <c r="K11" s="7" t="n">
        <v>46446</v>
      </c>
      <c r="L11" s="6" t="s">
        <v>68</v>
      </c>
      <c r="M11" s="7"/>
      <c r="N11" s="8" t="n">
        <f aca="false">IF(M11&lt;&gt;"",M11-Summary!$C$3,IF(K11="","",K11-Summary!$C$3))</f>
        <v>141</v>
      </c>
      <c r="O11" s="6" t="s">
        <v>4</v>
      </c>
      <c r="P11" s="6" t="s">
        <v>186</v>
      </c>
      <c r="Q11" s="6" t="s">
        <v>134</v>
      </c>
      <c r="R11" s="6" t="s">
        <v>187</v>
      </c>
      <c r="S11" s="6" t="s">
        <v>188</v>
      </c>
      <c r="T11" s="6" t="s">
        <v>189</v>
      </c>
      <c r="U11" s="6" t="s">
        <v>89</v>
      </c>
      <c r="V11" s="6" t="s">
        <v>190</v>
      </c>
      <c r="W11" s="6" t="s">
        <v>191</v>
      </c>
      <c r="X11" s="6" t="s">
        <v>192</v>
      </c>
      <c r="Y11" s="6" t="s">
        <v>193</v>
      </c>
      <c r="Z11" s="6" t="s">
        <v>79</v>
      </c>
      <c r="AA11" s="6" t="s">
        <v>194</v>
      </c>
    </row>
    <row r="12" customFormat="false" ht="64.15" hidden="false" customHeight="false" outlineLevel="0" collapsed="false">
      <c r="A12" s="6" t="s">
        <v>195</v>
      </c>
      <c r="B12" s="6" t="s">
        <v>196</v>
      </c>
      <c r="C12" s="6" t="s">
        <v>197</v>
      </c>
      <c r="D12" s="6" t="s">
        <v>198</v>
      </c>
      <c r="E12" s="6" t="s">
        <v>26</v>
      </c>
      <c r="F12" s="6" t="s">
        <v>199</v>
      </c>
      <c r="G12" s="6" t="s">
        <v>122</v>
      </c>
      <c r="H12" s="6" t="s">
        <v>65</v>
      </c>
      <c r="I12" s="6" t="s">
        <v>200</v>
      </c>
      <c r="J12" s="6" t="s">
        <v>201</v>
      </c>
      <c r="K12" s="7" t="n">
        <v>47299</v>
      </c>
      <c r="L12" s="6" t="s">
        <v>68</v>
      </c>
      <c r="M12" s="7"/>
      <c r="N12" s="8" t="n">
        <f aca="false">IF(M12&lt;&gt;"",M12-Summary!$C$3,IF(K12="","",K12-Summary!$C$3))</f>
        <v>994</v>
      </c>
      <c r="O12" s="6" t="s">
        <v>4</v>
      </c>
      <c r="P12" s="6" t="s">
        <v>69</v>
      </c>
      <c r="Q12" s="6" t="s">
        <v>134</v>
      </c>
      <c r="R12" s="6" t="s">
        <v>202</v>
      </c>
      <c r="S12" s="6" t="s">
        <v>203</v>
      </c>
      <c r="T12" s="6" t="s">
        <v>204</v>
      </c>
      <c r="U12" s="6" t="s">
        <v>89</v>
      </c>
      <c r="V12" s="6" t="s">
        <v>205</v>
      </c>
      <c r="W12" s="6" t="s">
        <v>206</v>
      </c>
      <c r="X12" s="6" t="s">
        <v>207</v>
      </c>
      <c r="Y12" s="6" t="s">
        <v>208</v>
      </c>
      <c r="Z12" s="6" t="s">
        <v>79</v>
      </c>
      <c r="AA12" s="6" t="s">
        <v>80</v>
      </c>
    </row>
    <row r="13" customFormat="false" ht="64.15" hidden="false" customHeight="false" outlineLevel="0" collapsed="false">
      <c r="A13" s="6" t="s">
        <v>209</v>
      </c>
      <c r="B13" s="6" t="s">
        <v>210</v>
      </c>
      <c r="C13" s="6" t="s">
        <v>211</v>
      </c>
      <c r="D13" s="6" t="s">
        <v>212</v>
      </c>
      <c r="E13" s="6" t="s">
        <v>26</v>
      </c>
      <c r="F13" s="6" t="s">
        <v>199</v>
      </c>
      <c r="G13" s="6" t="s">
        <v>122</v>
      </c>
      <c r="H13" s="6" t="s">
        <v>65</v>
      </c>
      <c r="I13" s="6" t="s">
        <v>200</v>
      </c>
      <c r="J13" s="6" t="s">
        <v>201</v>
      </c>
      <c r="K13" s="7" t="n">
        <v>47299</v>
      </c>
      <c r="L13" s="6" t="s">
        <v>68</v>
      </c>
      <c r="M13" s="7"/>
      <c r="N13" s="8" t="n">
        <f aca="false">IF(M13&lt;&gt;"",M13-Summary!$C$3,IF(K13="","",K13-Summary!$C$3))</f>
        <v>994</v>
      </c>
      <c r="O13" s="6" t="s">
        <v>4</v>
      </c>
      <c r="P13" s="6" t="s">
        <v>69</v>
      </c>
      <c r="Q13" s="6" t="s">
        <v>134</v>
      </c>
      <c r="R13" s="6" t="s">
        <v>213</v>
      </c>
      <c r="S13" s="6" t="s">
        <v>214</v>
      </c>
      <c r="T13" s="6" t="s">
        <v>215</v>
      </c>
      <c r="U13" s="6" t="s">
        <v>216</v>
      </c>
      <c r="V13" s="6" t="s">
        <v>217</v>
      </c>
      <c r="W13" s="6" t="s">
        <v>206</v>
      </c>
      <c r="X13" s="6" t="s">
        <v>218</v>
      </c>
      <c r="Y13" s="6" t="s">
        <v>219</v>
      </c>
      <c r="Z13" s="6" t="s">
        <v>79</v>
      </c>
      <c r="AA13" s="6" t="s">
        <v>80</v>
      </c>
    </row>
    <row r="14" customFormat="false" ht="64.15" hidden="false" customHeight="false" outlineLevel="0" collapsed="false">
      <c r="A14" s="6" t="s">
        <v>220</v>
      </c>
      <c r="B14" s="6" t="s">
        <v>221</v>
      </c>
      <c r="C14" s="6" t="s">
        <v>222</v>
      </c>
      <c r="D14" s="6" t="s">
        <v>223</v>
      </c>
      <c r="E14" s="6" t="s">
        <v>17</v>
      </c>
      <c r="F14" s="6" t="s">
        <v>224</v>
      </c>
      <c r="G14" s="6" t="s">
        <v>225</v>
      </c>
      <c r="H14" s="6" t="s">
        <v>226</v>
      </c>
      <c r="I14" s="6" t="s">
        <v>227</v>
      </c>
      <c r="J14" s="6" t="s">
        <v>133</v>
      </c>
      <c r="K14" s="7" t="n">
        <v>47208</v>
      </c>
      <c r="L14" s="6" t="s">
        <v>68</v>
      </c>
      <c r="M14" s="7"/>
      <c r="N14" s="8" t="n">
        <f aca="false">IF(M14&lt;&gt;"",M14-Summary!$C$3,IF(K14="","",K14-Summary!$C$3))</f>
        <v>903</v>
      </c>
      <c r="O14" s="6" t="s">
        <v>4</v>
      </c>
      <c r="P14" s="6" t="s">
        <v>89</v>
      </c>
      <c r="Q14" s="6" t="s">
        <v>89</v>
      </c>
      <c r="R14" s="6" t="s">
        <v>228</v>
      </c>
      <c r="S14" s="6" t="s">
        <v>229</v>
      </c>
      <c r="T14" s="6" t="s">
        <v>230</v>
      </c>
      <c r="U14" s="6" t="s">
        <v>231</v>
      </c>
      <c r="V14" s="6" t="s">
        <v>232</v>
      </c>
      <c r="W14" s="6" t="s">
        <v>233</v>
      </c>
      <c r="X14" s="6" t="s">
        <v>234</v>
      </c>
      <c r="Y14" s="6" t="s">
        <v>235</v>
      </c>
      <c r="Z14" s="6" t="s">
        <v>79</v>
      </c>
      <c r="AA14" s="6" t="s">
        <v>80</v>
      </c>
    </row>
    <row r="15" customFormat="false" ht="53.7" hidden="false" customHeight="false" outlineLevel="0" collapsed="false">
      <c r="A15" s="6" t="s">
        <v>236</v>
      </c>
      <c r="B15" s="6" t="s">
        <v>237</v>
      </c>
      <c r="C15" s="6" t="s">
        <v>236</v>
      </c>
      <c r="D15" s="6" t="s">
        <v>238</v>
      </c>
      <c r="E15" s="6" t="s">
        <v>21</v>
      </c>
      <c r="F15" s="6" t="s">
        <v>147</v>
      </c>
      <c r="G15" s="6" t="s">
        <v>239</v>
      </c>
      <c r="H15" s="6" t="s">
        <v>65</v>
      </c>
      <c r="I15" s="6" t="s">
        <v>240</v>
      </c>
      <c r="J15" s="6" t="s">
        <v>241</v>
      </c>
      <c r="K15" s="7" t="n">
        <v>47603</v>
      </c>
      <c r="L15" s="6" t="s">
        <v>68</v>
      </c>
      <c r="M15" s="7"/>
      <c r="N15" s="8" t="n">
        <f aca="false">IF(M15&lt;&gt;"",M15-Summary!$C$3,IF(K15="","",K15-Summary!$C$3))</f>
        <v>1298</v>
      </c>
      <c r="O15" s="6" t="s">
        <v>4</v>
      </c>
      <c r="P15" s="6" t="s">
        <v>150</v>
      </c>
      <c r="Q15" s="6" t="s">
        <v>242</v>
      </c>
      <c r="R15" s="6" t="s">
        <v>243</v>
      </c>
      <c r="S15" s="6" t="s">
        <v>244</v>
      </c>
      <c r="T15" s="6" t="s">
        <v>245</v>
      </c>
      <c r="U15" s="6" t="s">
        <v>246</v>
      </c>
      <c r="V15" s="6" t="s">
        <v>247</v>
      </c>
      <c r="W15" s="6" t="s">
        <v>248</v>
      </c>
      <c r="X15" s="6" t="s">
        <v>249</v>
      </c>
      <c r="Y15" s="6" t="s">
        <v>250</v>
      </c>
      <c r="Z15" s="6" t="s">
        <v>79</v>
      </c>
      <c r="AA15" s="6" t="s">
        <v>80</v>
      </c>
    </row>
    <row r="16" customFormat="false" ht="64.15" hidden="false" customHeight="false" outlineLevel="0" collapsed="false">
      <c r="A16" s="6" t="s">
        <v>251</v>
      </c>
      <c r="B16" s="6" t="s">
        <v>252</v>
      </c>
      <c r="C16" s="6" t="s">
        <v>251</v>
      </c>
      <c r="D16" s="6" t="s">
        <v>253</v>
      </c>
      <c r="E16" s="6" t="s">
        <v>17</v>
      </c>
      <c r="F16" s="6" t="s">
        <v>63</v>
      </c>
      <c r="G16" s="6" t="s">
        <v>122</v>
      </c>
      <c r="H16" s="6" t="s">
        <v>65</v>
      </c>
      <c r="I16" s="6" t="s">
        <v>254</v>
      </c>
      <c r="J16" s="6" t="s">
        <v>255</v>
      </c>
      <c r="K16" s="7" t="n">
        <v>47756</v>
      </c>
      <c r="L16" s="6" t="s">
        <v>68</v>
      </c>
      <c r="M16" s="7"/>
      <c r="N16" s="8" t="n">
        <f aca="false">IF(M16&lt;&gt;"",M16-Summary!$C$3,IF(K16="","",K16-Summary!$C$3))</f>
        <v>1451</v>
      </c>
      <c r="O16" s="6" t="s">
        <v>4</v>
      </c>
      <c r="P16" s="6" t="s">
        <v>256</v>
      </c>
      <c r="Q16" s="6" t="s">
        <v>89</v>
      </c>
      <c r="R16" s="6" t="s">
        <v>257</v>
      </c>
      <c r="S16" s="6" t="s">
        <v>258</v>
      </c>
      <c r="T16" s="6" t="s">
        <v>89</v>
      </c>
      <c r="U16" s="6" t="s">
        <v>89</v>
      </c>
      <c r="V16" s="6" t="s">
        <v>259</v>
      </c>
      <c r="W16" s="6" t="s">
        <v>260</v>
      </c>
      <c r="X16" s="6" t="s">
        <v>261</v>
      </c>
      <c r="Y16" s="6" t="s">
        <v>262</v>
      </c>
      <c r="Z16" s="6" t="s">
        <v>79</v>
      </c>
      <c r="AA16" s="6" t="s">
        <v>80</v>
      </c>
    </row>
    <row r="17" customFormat="false" ht="53.7" hidden="false" customHeight="false" outlineLevel="0" collapsed="false">
      <c r="A17" s="6" t="s">
        <v>263</v>
      </c>
      <c r="B17" s="6" t="s">
        <v>263</v>
      </c>
      <c r="C17" s="6" t="s">
        <v>263</v>
      </c>
      <c r="D17" s="6" t="s">
        <v>264</v>
      </c>
      <c r="E17" s="6" t="s">
        <v>21</v>
      </c>
      <c r="F17" s="6" t="s">
        <v>162</v>
      </c>
      <c r="G17" s="6" t="s">
        <v>122</v>
      </c>
      <c r="H17" s="6" t="s">
        <v>65</v>
      </c>
      <c r="I17" s="6" t="s">
        <v>265</v>
      </c>
      <c r="J17" s="6" t="s">
        <v>266</v>
      </c>
      <c r="K17" s="7" t="n">
        <v>46568</v>
      </c>
      <c r="L17" s="6" t="s">
        <v>68</v>
      </c>
      <c r="M17" s="7"/>
      <c r="N17" s="8" t="n">
        <f aca="false">IF(M17&lt;&gt;"",M17-Summary!$C$3,IF(K17="","",K17-Summary!$C$3))</f>
        <v>263</v>
      </c>
      <c r="O17" s="6" t="s">
        <v>4</v>
      </c>
      <c r="P17" s="6" t="s">
        <v>69</v>
      </c>
      <c r="Q17" s="6" t="s">
        <v>134</v>
      </c>
      <c r="R17" s="6" t="s">
        <v>267</v>
      </c>
      <c r="S17" s="6" t="s">
        <v>268</v>
      </c>
      <c r="T17" s="6" t="s">
        <v>89</v>
      </c>
      <c r="U17" s="6" t="s">
        <v>269</v>
      </c>
      <c r="V17" s="6" t="s">
        <v>270</v>
      </c>
      <c r="W17" s="6" t="s">
        <v>271</v>
      </c>
      <c r="X17" s="6" t="s">
        <v>272</v>
      </c>
      <c r="Y17" s="6" t="s">
        <v>273</v>
      </c>
      <c r="Z17" s="6" t="s">
        <v>79</v>
      </c>
      <c r="AA17" s="6" t="s">
        <v>80</v>
      </c>
    </row>
    <row r="18" customFormat="false" ht="64.15" hidden="false" customHeight="false" outlineLevel="0" collapsed="false">
      <c r="A18" s="6" t="s">
        <v>274</v>
      </c>
      <c r="B18" s="6" t="s">
        <v>275</v>
      </c>
      <c r="C18" s="6" t="s">
        <v>276</v>
      </c>
      <c r="D18" s="6" t="s">
        <v>277</v>
      </c>
      <c r="E18" s="6" t="s">
        <v>23</v>
      </c>
      <c r="F18" s="6" t="s">
        <v>162</v>
      </c>
      <c r="G18" s="6" t="s">
        <v>122</v>
      </c>
      <c r="H18" s="6" t="s">
        <v>65</v>
      </c>
      <c r="I18" s="6" t="s">
        <v>163</v>
      </c>
      <c r="J18" s="6" t="s">
        <v>176</v>
      </c>
      <c r="K18" s="7" t="n">
        <v>46812</v>
      </c>
      <c r="L18" s="6" t="s">
        <v>68</v>
      </c>
      <c r="M18" s="7"/>
      <c r="N18" s="8" t="n">
        <f aca="false">IF(M18&lt;&gt;"",M18-Summary!$C$3,IF(K18="","",K18-Summary!$C$3))</f>
        <v>507</v>
      </c>
      <c r="O18" s="6" t="s">
        <v>4</v>
      </c>
      <c r="P18" s="6" t="s">
        <v>69</v>
      </c>
      <c r="Q18" s="6" t="s">
        <v>110</v>
      </c>
      <c r="R18" s="6" t="s">
        <v>278</v>
      </c>
      <c r="S18" s="6" t="s">
        <v>279</v>
      </c>
      <c r="T18" s="6" t="s">
        <v>280</v>
      </c>
      <c r="U18" s="6" t="s">
        <v>281</v>
      </c>
      <c r="V18" s="6" t="s">
        <v>282</v>
      </c>
      <c r="W18" s="6" t="s">
        <v>283</v>
      </c>
      <c r="X18" s="6" t="s">
        <v>284</v>
      </c>
      <c r="Y18" s="6" t="s">
        <v>285</v>
      </c>
      <c r="Z18" s="6" t="s">
        <v>79</v>
      </c>
      <c r="AA18" s="6" t="s">
        <v>80</v>
      </c>
    </row>
    <row r="19" customFormat="false" ht="43.25" hidden="false" customHeight="false" outlineLevel="0" collapsed="false">
      <c r="A19" s="6" t="s">
        <v>286</v>
      </c>
      <c r="B19" s="6" t="s">
        <v>286</v>
      </c>
      <c r="C19" s="6" t="s">
        <v>287</v>
      </c>
      <c r="D19" s="6" t="s">
        <v>288</v>
      </c>
      <c r="E19" s="6" t="s">
        <v>23</v>
      </c>
      <c r="F19" s="6" t="s">
        <v>289</v>
      </c>
      <c r="G19" s="6" t="s">
        <v>290</v>
      </c>
      <c r="H19" s="6" t="s">
        <v>291</v>
      </c>
      <c r="I19" s="6" t="s">
        <v>292</v>
      </c>
      <c r="J19" s="6" t="s">
        <v>255</v>
      </c>
      <c r="K19" s="7" t="n">
        <v>47756</v>
      </c>
      <c r="L19" s="6" t="s">
        <v>68</v>
      </c>
      <c r="M19" s="7"/>
      <c r="N19" s="8" t="n">
        <f aca="false">IF(M19&lt;&gt;"",M19-Summary!$C$3,IF(K19="","",K19-Summary!$C$3))</f>
        <v>1451</v>
      </c>
      <c r="O19" s="6" t="s">
        <v>4</v>
      </c>
      <c r="P19" s="6" t="s">
        <v>89</v>
      </c>
      <c r="Q19" s="6" t="s">
        <v>293</v>
      </c>
      <c r="R19" s="6" t="s">
        <v>89</v>
      </c>
      <c r="S19" s="6" t="s">
        <v>294</v>
      </c>
      <c r="T19" s="6" t="s">
        <v>89</v>
      </c>
      <c r="U19" s="6" t="s">
        <v>89</v>
      </c>
      <c r="V19" s="6" t="s">
        <v>295</v>
      </c>
      <c r="W19" s="6" t="s">
        <v>89</v>
      </c>
      <c r="X19" s="6" t="s">
        <v>89</v>
      </c>
      <c r="Y19" s="6" t="s">
        <v>296</v>
      </c>
      <c r="Z19" s="6" t="s">
        <v>79</v>
      </c>
      <c r="AA19" s="6" t="s">
        <v>80</v>
      </c>
    </row>
    <row r="20" customFormat="false" ht="43.25" hidden="false" customHeight="false" outlineLevel="0" collapsed="false">
      <c r="A20" s="6" t="s">
        <v>297</v>
      </c>
      <c r="B20" s="6" t="s">
        <v>297</v>
      </c>
      <c r="C20" s="6" t="s">
        <v>297</v>
      </c>
      <c r="D20" s="6" t="s">
        <v>298</v>
      </c>
      <c r="E20" s="6" t="s">
        <v>21</v>
      </c>
      <c r="F20" s="6" t="s">
        <v>289</v>
      </c>
      <c r="G20" s="6" t="s">
        <v>122</v>
      </c>
      <c r="H20" s="6" t="s">
        <v>65</v>
      </c>
      <c r="I20" s="6" t="s">
        <v>163</v>
      </c>
      <c r="J20" s="6" t="s">
        <v>164</v>
      </c>
      <c r="K20" s="7" t="n">
        <v>47542</v>
      </c>
      <c r="L20" s="6" t="s">
        <v>68</v>
      </c>
      <c r="M20" s="7"/>
      <c r="N20" s="8" t="n">
        <f aca="false">IF(M20&lt;&gt;"",M20-Summary!$C$3,IF(K20="","",K20-Summary!$C$3))</f>
        <v>1237</v>
      </c>
      <c r="O20" s="6" t="s">
        <v>4</v>
      </c>
      <c r="P20" s="6" t="s">
        <v>150</v>
      </c>
      <c r="Q20" s="6" t="s">
        <v>299</v>
      </c>
      <c r="R20" s="6" t="s">
        <v>135</v>
      </c>
      <c r="S20" s="6" t="s">
        <v>300</v>
      </c>
      <c r="T20" s="6" t="s">
        <v>301</v>
      </c>
      <c r="U20" s="6" t="s">
        <v>89</v>
      </c>
      <c r="V20" s="6" t="s">
        <v>302</v>
      </c>
      <c r="W20" s="6" t="s">
        <v>303</v>
      </c>
      <c r="X20" s="6" t="s">
        <v>304</v>
      </c>
      <c r="Y20" s="6" t="s">
        <v>305</v>
      </c>
      <c r="Z20" s="6" t="s">
        <v>79</v>
      </c>
      <c r="AA20" s="6" t="s">
        <v>80</v>
      </c>
    </row>
    <row r="21" customFormat="false" ht="53.7" hidden="false" customHeight="false" outlineLevel="0" collapsed="false">
      <c r="A21" s="6" t="s">
        <v>306</v>
      </c>
      <c r="B21" s="6" t="s">
        <v>306</v>
      </c>
      <c r="C21" s="6" t="s">
        <v>306</v>
      </c>
      <c r="D21" s="6" t="s">
        <v>307</v>
      </c>
      <c r="E21" s="6" t="s">
        <v>21</v>
      </c>
      <c r="F21" s="6" t="s">
        <v>308</v>
      </c>
      <c r="G21" s="6" t="s">
        <v>309</v>
      </c>
      <c r="H21" s="6" t="s">
        <v>65</v>
      </c>
      <c r="I21" s="6" t="s">
        <v>310</v>
      </c>
      <c r="J21" s="6" t="s">
        <v>311</v>
      </c>
      <c r="K21" s="7" t="n">
        <v>47108</v>
      </c>
      <c r="L21" s="6" t="s">
        <v>68</v>
      </c>
      <c r="M21" s="7"/>
      <c r="N21" s="8" t="n">
        <f aca="false">IF(M21&lt;&gt;"",M21-Summary!$C$3,IF(K21="","",K21-Summary!$C$3))</f>
        <v>803</v>
      </c>
      <c r="O21" s="6" t="s">
        <v>4</v>
      </c>
      <c r="P21" s="6" t="s">
        <v>150</v>
      </c>
      <c r="Q21" s="6" t="s">
        <v>134</v>
      </c>
      <c r="R21" s="6" t="s">
        <v>312</v>
      </c>
      <c r="S21" s="6" t="s">
        <v>313</v>
      </c>
      <c r="T21" s="6" t="s">
        <v>314</v>
      </c>
      <c r="U21" s="6" t="s">
        <v>89</v>
      </c>
      <c r="V21" s="6" t="s">
        <v>315</v>
      </c>
      <c r="W21" s="6" t="s">
        <v>316</v>
      </c>
      <c r="X21" s="6" t="s">
        <v>317</v>
      </c>
      <c r="Y21" s="6" t="s">
        <v>318</v>
      </c>
      <c r="Z21" s="6" t="s">
        <v>79</v>
      </c>
      <c r="AA21" s="6" t="s">
        <v>80</v>
      </c>
    </row>
    <row r="22" customFormat="false" ht="53.7" hidden="false" customHeight="false" outlineLevel="0" collapsed="false">
      <c r="A22" s="6" t="s">
        <v>319</v>
      </c>
      <c r="B22" s="6" t="s">
        <v>320</v>
      </c>
      <c r="C22" s="6" t="s">
        <v>321</v>
      </c>
      <c r="D22" s="6" t="s">
        <v>322</v>
      </c>
      <c r="E22" s="6" t="s">
        <v>21</v>
      </c>
      <c r="F22" s="6" t="s">
        <v>93</v>
      </c>
      <c r="G22" s="6" t="s">
        <v>323</v>
      </c>
      <c r="H22" s="6" t="s">
        <v>65</v>
      </c>
      <c r="I22" s="6" t="s">
        <v>324</v>
      </c>
      <c r="J22" s="6" t="s">
        <v>325</v>
      </c>
      <c r="K22" s="7" t="n">
        <v>45941</v>
      </c>
      <c r="L22" s="6" t="s">
        <v>68</v>
      </c>
      <c r="M22" s="7" t="n">
        <v>46306</v>
      </c>
      <c r="N22" s="8" t="n">
        <f aca="false">IF(M22&lt;&gt;"",M22-Summary!$C$3,IF(K22="","",K22-Summary!$C$3))</f>
        <v>1</v>
      </c>
      <c r="O22" s="6" t="s">
        <v>4</v>
      </c>
      <c r="P22" s="6" t="s">
        <v>69</v>
      </c>
      <c r="Q22" s="6" t="s">
        <v>134</v>
      </c>
      <c r="R22" s="6" t="s">
        <v>326</v>
      </c>
      <c r="S22" s="6" t="s">
        <v>327</v>
      </c>
      <c r="T22" s="6" t="s">
        <v>89</v>
      </c>
      <c r="U22" s="6" t="s">
        <v>328</v>
      </c>
      <c r="V22" s="6" t="s">
        <v>329</v>
      </c>
      <c r="W22" s="6" t="s">
        <v>330</v>
      </c>
      <c r="X22" s="6" t="s">
        <v>331</v>
      </c>
      <c r="Y22" s="6" t="s">
        <v>332</v>
      </c>
      <c r="Z22" s="6" t="s">
        <v>128</v>
      </c>
      <c r="AA22" s="6" t="s">
        <v>80</v>
      </c>
    </row>
    <row r="23" customFormat="false" ht="43.25" hidden="false" customHeight="false" outlineLevel="0" collapsed="false">
      <c r="A23" s="6" t="s">
        <v>319</v>
      </c>
      <c r="B23" s="6" t="s">
        <v>320</v>
      </c>
      <c r="C23" s="6" t="s">
        <v>321</v>
      </c>
      <c r="D23" s="6" t="s">
        <v>333</v>
      </c>
      <c r="E23" s="6" t="s">
        <v>17</v>
      </c>
      <c r="F23" s="6" t="s">
        <v>147</v>
      </c>
      <c r="G23" s="6" t="s">
        <v>122</v>
      </c>
      <c r="H23" s="6" t="s">
        <v>65</v>
      </c>
      <c r="I23" s="6" t="s">
        <v>148</v>
      </c>
      <c r="J23" s="6" t="s">
        <v>334</v>
      </c>
      <c r="K23" s="7" t="n">
        <v>46660</v>
      </c>
      <c r="L23" s="6" t="s">
        <v>68</v>
      </c>
      <c r="M23" s="7"/>
      <c r="N23" s="8" t="n">
        <f aca="false">IF(M23&lt;&gt;"",M23-Summary!$C$3,IF(K23="","",K23-Summary!$C$3))</f>
        <v>355</v>
      </c>
      <c r="O23" s="6" t="s">
        <v>4</v>
      </c>
      <c r="P23" s="6" t="s">
        <v>335</v>
      </c>
      <c r="Q23" s="6" t="s">
        <v>336</v>
      </c>
      <c r="R23" s="6" t="s">
        <v>337</v>
      </c>
      <c r="S23" s="6" t="s">
        <v>338</v>
      </c>
      <c r="T23" s="6" t="s">
        <v>89</v>
      </c>
      <c r="U23" s="6" t="s">
        <v>89</v>
      </c>
      <c r="V23" s="6" t="s">
        <v>89</v>
      </c>
      <c r="W23" s="6" t="s">
        <v>89</v>
      </c>
      <c r="X23" s="6" t="s">
        <v>89</v>
      </c>
      <c r="Y23" s="6" t="s">
        <v>339</v>
      </c>
      <c r="Z23" s="6" t="s">
        <v>128</v>
      </c>
      <c r="AA23" s="6" t="s">
        <v>194</v>
      </c>
    </row>
    <row r="24" customFormat="false" ht="43.25" hidden="false" customHeight="false" outlineLevel="0" collapsed="false">
      <c r="A24" s="6" t="s">
        <v>340</v>
      </c>
      <c r="B24" s="6" t="s">
        <v>340</v>
      </c>
      <c r="C24" s="6" t="s">
        <v>341</v>
      </c>
      <c r="D24" s="6" t="s">
        <v>342</v>
      </c>
      <c r="E24" s="6" t="s">
        <v>24</v>
      </c>
      <c r="F24" s="6" t="s">
        <v>343</v>
      </c>
      <c r="G24" s="6" t="s">
        <v>122</v>
      </c>
      <c r="H24" s="6" t="s">
        <v>344</v>
      </c>
      <c r="I24" s="6" t="s">
        <v>345</v>
      </c>
      <c r="J24" s="6" t="s">
        <v>346</v>
      </c>
      <c r="K24" s="7" t="n">
        <v>44561</v>
      </c>
      <c r="L24" s="6" t="s">
        <v>68</v>
      </c>
      <c r="M24" s="7" t="n">
        <v>46387</v>
      </c>
      <c r="N24" s="8" t="n">
        <f aca="false">IF(M24&lt;&gt;"",M24-Summary!$C$3,IF(K24="","",K24-Summary!$C$3))</f>
        <v>82</v>
      </c>
      <c r="O24" s="6" t="s">
        <v>4</v>
      </c>
      <c r="P24" s="6" t="s">
        <v>150</v>
      </c>
      <c r="Q24" s="6" t="s">
        <v>134</v>
      </c>
      <c r="R24" s="6" t="s">
        <v>347</v>
      </c>
      <c r="S24" s="6" t="s">
        <v>348</v>
      </c>
      <c r="T24" s="6" t="s">
        <v>349</v>
      </c>
      <c r="U24" s="6" t="s">
        <v>89</v>
      </c>
      <c r="V24" s="6" t="s">
        <v>110</v>
      </c>
      <c r="W24" s="6" t="s">
        <v>350</v>
      </c>
      <c r="X24" s="6" t="s">
        <v>351</v>
      </c>
      <c r="Y24" s="6" t="s">
        <v>352</v>
      </c>
      <c r="Z24" s="6" t="s">
        <v>128</v>
      </c>
      <c r="AA24" s="6" t="s">
        <v>194</v>
      </c>
    </row>
    <row r="25" customFormat="false" ht="64.15" hidden="false" customHeight="false" outlineLevel="0" collapsed="false">
      <c r="A25" s="6" t="s">
        <v>340</v>
      </c>
      <c r="B25" s="6" t="s">
        <v>340</v>
      </c>
      <c r="C25" s="6" t="s">
        <v>341</v>
      </c>
      <c r="D25" s="6" t="s">
        <v>353</v>
      </c>
      <c r="E25" s="6" t="s">
        <v>24</v>
      </c>
      <c r="F25" s="6" t="s">
        <v>354</v>
      </c>
      <c r="G25" s="6" t="s">
        <v>122</v>
      </c>
      <c r="H25" s="6" t="s">
        <v>226</v>
      </c>
      <c r="I25" s="6" t="s">
        <v>355</v>
      </c>
      <c r="J25" s="6" t="s">
        <v>356</v>
      </c>
      <c r="K25" s="7" t="n">
        <v>47122</v>
      </c>
      <c r="L25" s="6" t="s">
        <v>68</v>
      </c>
      <c r="M25" s="7"/>
      <c r="N25" s="8" t="n">
        <f aca="false">IF(M25&lt;&gt;"",M25-Summary!$C$3,IF(K25="","",K25-Summary!$C$3))</f>
        <v>817</v>
      </c>
      <c r="O25" s="6" t="s">
        <v>4</v>
      </c>
      <c r="P25" s="6" t="s">
        <v>69</v>
      </c>
      <c r="Q25" s="6" t="s">
        <v>357</v>
      </c>
      <c r="R25" s="6" t="s">
        <v>358</v>
      </c>
      <c r="S25" s="6" t="s">
        <v>359</v>
      </c>
      <c r="T25" s="6" t="s">
        <v>89</v>
      </c>
      <c r="U25" s="6" t="s">
        <v>89</v>
      </c>
      <c r="V25" s="6" t="s">
        <v>360</v>
      </c>
      <c r="W25" s="6" t="s">
        <v>361</v>
      </c>
      <c r="X25" s="6" t="s">
        <v>362</v>
      </c>
      <c r="Y25" s="6" t="s">
        <v>363</v>
      </c>
      <c r="Z25" s="6" t="s">
        <v>128</v>
      </c>
      <c r="AA25" s="6" t="s">
        <v>194</v>
      </c>
    </row>
    <row r="26" customFormat="false" ht="74.6" hidden="false" customHeight="false" outlineLevel="0" collapsed="false">
      <c r="A26" s="6" t="s">
        <v>340</v>
      </c>
      <c r="B26" s="6" t="s">
        <v>340</v>
      </c>
      <c r="C26" s="6" t="s">
        <v>341</v>
      </c>
      <c r="D26" s="6" t="s">
        <v>364</v>
      </c>
      <c r="E26" s="6" t="s">
        <v>21</v>
      </c>
      <c r="F26" s="6" t="s">
        <v>365</v>
      </c>
      <c r="G26" s="6" t="s">
        <v>122</v>
      </c>
      <c r="H26" s="6" t="s">
        <v>226</v>
      </c>
      <c r="I26" s="6" t="s">
        <v>355</v>
      </c>
      <c r="J26" s="6" t="s">
        <v>366</v>
      </c>
      <c r="K26" s="7" t="n">
        <v>49678</v>
      </c>
      <c r="L26" s="6" t="s">
        <v>68</v>
      </c>
      <c r="M26" s="7"/>
      <c r="N26" s="8" t="n">
        <f aca="false">IF(M26&lt;&gt;"",M26-Summary!$C$3,IF(K26="","",K26-Summary!$C$3))</f>
        <v>3373</v>
      </c>
      <c r="O26" s="6" t="s">
        <v>4</v>
      </c>
      <c r="P26" s="6" t="s">
        <v>367</v>
      </c>
      <c r="Q26" s="6" t="s">
        <v>110</v>
      </c>
      <c r="R26" s="6" t="s">
        <v>368</v>
      </c>
      <c r="S26" s="6" t="s">
        <v>369</v>
      </c>
      <c r="T26" s="6" t="s">
        <v>370</v>
      </c>
      <c r="U26" s="6" t="s">
        <v>89</v>
      </c>
      <c r="V26" s="6" t="s">
        <v>371</v>
      </c>
      <c r="W26" s="6" t="s">
        <v>372</v>
      </c>
      <c r="X26" s="6" t="s">
        <v>373</v>
      </c>
      <c r="Y26" s="6" t="s">
        <v>374</v>
      </c>
      <c r="Z26" s="6" t="s">
        <v>79</v>
      </c>
      <c r="AA26" s="6" t="s">
        <v>194</v>
      </c>
    </row>
    <row r="27" customFormat="false" ht="53.7" hidden="false" customHeight="false" outlineLevel="0" collapsed="false">
      <c r="A27" s="6" t="s">
        <v>375</v>
      </c>
      <c r="B27" s="6" t="s">
        <v>375</v>
      </c>
      <c r="C27" s="6" t="s">
        <v>375</v>
      </c>
      <c r="D27" s="6" t="s">
        <v>376</v>
      </c>
      <c r="E27" s="6" t="s">
        <v>21</v>
      </c>
      <c r="F27" s="6" t="s">
        <v>224</v>
      </c>
      <c r="G27" s="6" t="s">
        <v>122</v>
      </c>
      <c r="H27" s="6" t="s">
        <v>65</v>
      </c>
      <c r="I27" s="6" t="s">
        <v>377</v>
      </c>
      <c r="J27" s="6" t="s">
        <v>378</v>
      </c>
      <c r="K27" s="7" t="n">
        <v>46538</v>
      </c>
      <c r="L27" s="6" t="s">
        <v>68</v>
      </c>
      <c r="M27" s="7"/>
      <c r="N27" s="8" t="n">
        <f aca="false">IF(M27&lt;&gt;"",M27-Summary!$C$3,IF(K27="","",K27-Summary!$C$3))</f>
        <v>233</v>
      </c>
      <c r="O27" s="6" t="s">
        <v>4</v>
      </c>
      <c r="P27" s="6" t="s">
        <v>69</v>
      </c>
      <c r="Q27" s="6" t="s">
        <v>134</v>
      </c>
      <c r="R27" s="6" t="s">
        <v>379</v>
      </c>
      <c r="S27" s="6" t="s">
        <v>380</v>
      </c>
      <c r="T27" s="6" t="s">
        <v>89</v>
      </c>
      <c r="U27" s="6" t="s">
        <v>89</v>
      </c>
      <c r="V27" s="6" t="s">
        <v>381</v>
      </c>
      <c r="W27" s="6" t="s">
        <v>382</v>
      </c>
      <c r="X27" s="6" t="s">
        <v>383</v>
      </c>
      <c r="Y27" s="6" t="s">
        <v>384</v>
      </c>
      <c r="Z27" s="6" t="s">
        <v>128</v>
      </c>
      <c r="AA27" s="6" t="s">
        <v>194</v>
      </c>
    </row>
    <row r="28" customFormat="false" ht="53.7" hidden="false" customHeight="false" outlineLevel="0" collapsed="false">
      <c r="A28" s="6" t="s">
        <v>375</v>
      </c>
      <c r="B28" s="6" t="s">
        <v>375</v>
      </c>
      <c r="C28" s="6" t="s">
        <v>375</v>
      </c>
      <c r="D28" s="6" t="s">
        <v>385</v>
      </c>
      <c r="E28" s="6" t="s">
        <v>21</v>
      </c>
      <c r="F28" s="6" t="s">
        <v>63</v>
      </c>
      <c r="G28" s="6" t="s">
        <v>386</v>
      </c>
      <c r="H28" s="6" t="s">
        <v>65</v>
      </c>
      <c r="I28" s="6" t="s">
        <v>387</v>
      </c>
      <c r="J28" s="6" t="s">
        <v>388</v>
      </c>
      <c r="K28" s="7" t="n">
        <v>46878</v>
      </c>
      <c r="L28" s="6" t="s">
        <v>68</v>
      </c>
      <c r="M28" s="7"/>
      <c r="N28" s="8" t="n">
        <f aca="false">IF(M28&lt;&gt;"",M28-Summary!$C$3,IF(K28="","",K28-Summary!$C$3))</f>
        <v>573</v>
      </c>
      <c r="O28" s="6" t="s">
        <v>4</v>
      </c>
      <c r="P28" s="6" t="s">
        <v>69</v>
      </c>
      <c r="Q28" s="6" t="s">
        <v>134</v>
      </c>
      <c r="R28" s="6" t="s">
        <v>389</v>
      </c>
      <c r="S28" s="6" t="s">
        <v>390</v>
      </c>
      <c r="T28" s="6" t="s">
        <v>391</v>
      </c>
      <c r="U28" s="6" t="s">
        <v>89</v>
      </c>
      <c r="V28" s="6" t="s">
        <v>392</v>
      </c>
      <c r="W28" s="6" t="s">
        <v>393</v>
      </c>
      <c r="X28" s="6" t="s">
        <v>394</v>
      </c>
      <c r="Y28" s="6" t="s">
        <v>395</v>
      </c>
      <c r="Z28" s="6" t="s">
        <v>79</v>
      </c>
      <c r="AA28" s="6" t="s">
        <v>80</v>
      </c>
    </row>
    <row r="29" customFormat="false" ht="53.7" hidden="false" customHeight="false" outlineLevel="0" collapsed="false">
      <c r="A29" s="6" t="s">
        <v>396</v>
      </c>
      <c r="B29" s="6" t="s">
        <v>397</v>
      </c>
      <c r="C29" s="6" t="s">
        <v>396</v>
      </c>
      <c r="D29" s="6" t="s">
        <v>398</v>
      </c>
      <c r="E29" s="6" t="s">
        <v>21</v>
      </c>
      <c r="F29" s="6" t="s">
        <v>147</v>
      </c>
      <c r="G29" s="6" t="s">
        <v>399</v>
      </c>
      <c r="H29" s="6" t="s">
        <v>65</v>
      </c>
      <c r="I29" s="6" t="s">
        <v>400</v>
      </c>
      <c r="J29" s="6" t="s">
        <v>401</v>
      </c>
      <c r="K29" s="7" t="n">
        <v>46965</v>
      </c>
      <c r="L29" s="6" t="s">
        <v>68</v>
      </c>
      <c r="M29" s="7"/>
      <c r="N29" s="8" t="n">
        <f aca="false">IF(M29&lt;&gt;"",M29-Summary!$C$3,IF(K29="","",K29-Summary!$C$3))</f>
        <v>660</v>
      </c>
      <c r="O29" s="6" t="s">
        <v>4</v>
      </c>
      <c r="P29" s="6" t="s">
        <v>402</v>
      </c>
      <c r="Q29" s="6" t="s">
        <v>403</v>
      </c>
      <c r="R29" s="6" t="s">
        <v>404</v>
      </c>
      <c r="S29" s="6" t="s">
        <v>405</v>
      </c>
      <c r="T29" s="6" t="s">
        <v>89</v>
      </c>
      <c r="U29" s="6" t="s">
        <v>89</v>
      </c>
      <c r="V29" s="6" t="s">
        <v>110</v>
      </c>
      <c r="W29" s="6" t="s">
        <v>89</v>
      </c>
      <c r="X29" s="6" t="s">
        <v>406</v>
      </c>
      <c r="Y29" s="6" t="s">
        <v>407</v>
      </c>
      <c r="Z29" s="6" t="s">
        <v>79</v>
      </c>
      <c r="AA29" s="6" t="s">
        <v>194</v>
      </c>
    </row>
    <row r="30" customFormat="false" ht="64.15" hidden="false" customHeight="false" outlineLevel="0" collapsed="false">
      <c r="A30" s="6" t="s">
        <v>408</v>
      </c>
      <c r="B30" s="6" t="s">
        <v>409</v>
      </c>
      <c r="C30" s="6" t="s">
        <v>410</v>
      </c>
      <c r="D30" s="6" t="s">
        <v>411</v>
      </c>
      <c r="E30" s="6" t="s">
        <v>21</v>
      </c>
      <c r="F30" s="6" t="s">
        <v>162</v>
      </c>
      <c r="G30" s="6" t="s">
        <v>412</v>
      </c>
      <c r="H30" s="6" t="s">
        <v>413</v>
      </c>
      <c r="I30" s="6" t="s">
        <v>414</v>
      </c>
      <c r="J30" s="6" t="s">
        <v>415</v>
      </c>
      <c r="K30" s="7" t="n">
        <v>46843</v>
      </c>
      <c r="L30" s="6" t="s">
        <v>68</v>
      </c>
      <c r="M30" s="7"/>
      <c r="N30" s="8" t="n">
        <f aca="false">IF(M30&lt;&gt;"",M30-Summary!$C$3,IF(K30="","",K30-Summary!$C$3))</f>
        <v>538</v>
      </c>
      <c r="O30" s="6" t="s">
        <v>4</v>
      </c>
      <c r="P30" s="6" t="s">
        <v>69</v>
      </c>
      <c r="Q30" s="6" t="s">
        <v>416</v>
      </c>
      <c r="R30" s="6" t="s">
        <v>417</v>
      </c>
      <c r="S30" s="6" t="s">
        <v>418</v>
      </c>
      <c r="T30" s="6" t="s">
        <v>419</v>
      </c>
      <c r="U30" s="6" t="s">
        <v>420</v>
      </c>
      <c r="V30" s="6" t="s">
        <v>421</v>
      </c>
      <c r="W30" s="6" t="s">
        <v>422</v>
      </c>
      <c r="X30" s="6" t="s">
        <v>423</v>
      </c>
      <c r="Y30" s="6" t="s">
        <v>424</v>
      </c>
      <c r="Z30" s="6" t="s">
        <v>79</v>
      </c>
      <c r="AA30" s="6" t="s">
        <v>80</v>
      </c>
    </row>
    <row r="31" customFormat="false" ht="64.15" hidden="false" customHeight="false" outlineLevel="0" collapsed="false">
      <c r="A31" s="6" t="s">
        <v>408</v>
      </c>
      <c r="B31" s="6" t="s">
        <v>425</v>
      </c>
      <c r="C31" s="6" t="s">
        <v>410</v>
      </c>
      <c r="D31" s="6" t="s">
        <v>426</v>
      </c>
      <c r="E31" s="6" t="s">
        <v>21</v>
      </c>
      <c r="F31" s="6" t="s">
        <v>427</v>
      </c>
      <c r="G31" s="6" t="s">
        <v>428</v>
      </c>
      <c r="H31" s="6" t="s">
        <v>65</v>
      </c>
      <c r="I31" s="6" t="s">
        <v>414</v>
      </c>
      <c r="J31" s="6" t="s">
        <v>415</v>
      </c>
      <c r="K31" s="7" t="n">
        <v>46843</v>
      </c>
      <c r="L31" s="6" t="s">
        <v>68</v>
      </c>
      <c r="M31" s="7"/>
      <c r="N31" s="8" t="n">
        <f aca="false">IF(M31&lt;&gt;"",M31-Summary!$C$3,IF(K31="","",K31-Summary!$C$3))</f>
        <v>538</v>
      </c>
      <c r="O31" s="6" t="s">
        <v>4</v>
      </c>
      <c r="P31" s="6" t="s">
        <v>69</v>
      </c>
      <c r="Q31" s="6" t="s">
        <v>110</v>
      </c>
      <c r="R31" s="6" t="s">
        <v>429</v>
      </c>
      <c r="S31" s="6" t="s">
        <v>430</v>
      </c>
      <c r="T31" s="6" t="s">
        <v>431</v>
      </c>
      <c r="U31" s="6" t="s">
        <v>432</v>
      </c>
      <c r="V31" s="6" t="s">
        <v>110</v>
      </c>
      <c r="W31" s="6" t="s">
        <v>433</v>
      </c>
      <c r="X31" s="6" t="s">
        <v>434</v>
      </c>
      <c r="Y31" s="6" t="s">
        <v>435</v>
      </c>
      <c r="Z31" s="6" t="s">
        <v>79</v>
      </c>
      <c r="AA31" s="6" t="s">
        <v>80</v>
      </c>
    </row>
    <row r="32" customFormat="false" ht="64.15" hidden="false" customHeight="false" outlineLevel="0" collapsed="false">
      <c r="A32" s="6" t="s">
        <v>436</v>
      </c>
      <c r="B32" s="6" t="s">
        <v>437</v>
      </c>
      <c r="C32" s="6" t="s">
        <v>436</v>
      </c>
      <c r="D32" s="6" t="s">
        <v>438</v>
      </c>
      <c r="E32" s="6" t="s">
        <v>21</v>
      </c>
      <c r="F32" s="6" t="s">
        <v>439</v>
      </c>
      <c r="G32" s="6" t="s">
        <v>122</v>
      </c>
      <c r="H32" s="6" t="s">
        <v>65</v>
      </c>
      <c r="I32" s="6" t="s">
        <v>440</v>
      </c>
      <c r="J32" s="6" t="s">
        <v>441</v>
      </c>
      <c r="K32" s="7" t="n">
        <v>46314</v>
      </c>
      <c r="L32" s="6" t="s">
        <v>68</v>
      </c>
      <c r="M32" s="7"/>
      <c r="N32" s="8" t="n">
        <f aca="false">IF(M32&lt;&gt;"",M32-Summary!$C$3,IF(K32="","",K32-Summary!$C$3))</f>
        <v>9</v>
      </c>
      <c r="O32" s="6" t="s">
        <v>4</v>
      </c>
      <c r="P32" s="6" t="s">
        <v>442</v>
      </c>
      <c r="Q32" s="6" t="s">
        <v>443</v>
      </c>
      <c r="R32" s="6" t="s">
        <v>444</v>
      </c>
      <c r="S32" s="6" t="s">
        <v>445</v>
      </c>
      <c r="T32" s="6" t="s">
        <v>446</v>
      </c>
      <c r="U32" s="6" t="s">
        <v>89</v>
      </c>
      <c r="V32" s="6" t="s">
        <v>447</v>
      </c>
      <c r="W32" s="6" t="s">
        <v>448</v>
      </c>
      <c r="X32" s="6" t="s">
        <v>449</v>
      </c>
      <c r="Y32" s="6" t="s">
        <v>450</v>
      </c>
      <c r="Z32" s="6" t="s">
        <v>79</v>
      </c>
      <c r="AA32" s="6" t="s">
        <v>194</v>
      </c>
    </row>
    <row r="33" customFormat="false" ht="53.7" hidden="false" customHeight="false" outlineLevel="0" collapsed="false">
      <c r="A33" s="6" t="s">
        <v>451</v>
      </c>
      <c r="B33" s="6" t="s">
        <v>452</v>
      </c>
      <c r="C33" s="6" t="s">
        <v>451</v>
      </c>
      <c r="D33" s="6" t="s">
        <v>453</v>
      </c>
      <c r="E33" s="6" t="s">
        <v>26</v>
      </c>
      <c r="F33" s="6" t="s">
        <v>454</v>
      </c>
      <c r="G33" s="6" t="s">
        <v>122</v>
      </c>
      <c r="H33" s="6" t="s">
        <v>65</v>
      </c>
      <c r="I33" s="6" t="s">
        <v>455</v>
      </c>
      <c r="J33" s="6" t="s">
        <v>456</v>
      </c>
      <c r="K33" s="7" t="n">
        <v>46934</v>
      </c>
      <c r="L33" s="6" t="s">
        <v>68</v>
      </c>
      <c r="M33" s="7"/>
      <c r="N33" s="8" t="n">
        <f aca="false">IF(M33&lt;&gt;"",M33-Summary!$C$3,IF(K33="","",K33-Summary!$C$3))</f>
        <v>629</v>
      </c>
      <c r="O33" s="6" t="s">
        <v>4</v>
      </c>
      <c r="P33" s="6" t="s">
        <v>457</v>
      </c>
      <c r="Q33" s="6" t="s">
        <v>458</v>
      </c>
      <c r="R33" s="6" t="s">
        <v>459</v>
      </c>
      <c r="S33" s="6" t="s">
        <v>460</v>
      </c>
      <c r="T33" s="6" t="s">
        <v>461</v>
      </c>
      <c r="U33" s="6" t="s">
        <v>89</v>
      </c>
      <c r="V33" s="6" t="s">
        <v>462</v>
      </c>
      <c r="W33" s="6" t="s">
        <v>463</v>
      </c>
      <c r="X33" s="6" t="s">
        <v>464</v>
      </c>
      <c r="Y33" s="6" t="s">
        <v>465</v>
      </c>
      <c r="Z33" s="6" t="s">
        <v>79</v>
      </c>
      <c r="AA33" s="6" t="s">
        <v>80</v>
      </c>
    </row>
    <row r="34" customFormat="false" ht="64.15" hidden="false" customHeight="false" outlineLevel="0" collapsed="false">
      <c r="A34" s="6" t="s">
        <v>466</v>
      </c>
      <c r="B34" s="6" t="s">
        <v>467</v>
      </c>
      <c r="C34" s="6" t="s">
        <v>451</v>
      </c>
      <c r="D34" s="6" t="s">
        <v>468</v>
      </c>
      <c r="E34" s="6" t="s">
        <v>26</v>
      </c>
      <c r="F34" s="6" t="s">
        <v>454</v>
      </c>
      <c r="G34" s="6" t="s">
        <v>469</v>
      </c>
      <c r="H34" s="6" t="s">
        <v>65</v>
      </c>
      <c r="I34" s="6" t="s">
        <v>455</v>
      </c>
      <c r="J34" s="6" t="s">
        <v>456</v>
      </c>
      <c r="K34" s="7" t="n">
        <v>46934</v>
      </c>
      <c r="L34" s="6" t="s">
        <v>68</v>
      </c>
      <c r="M34" s="7"/>
      <c r="N34" s="8" t="n">
        <f aca="false">IF(M34&lt;&gt;"",M34-Summary!$C$3,IF(K34="","",K34-Summary!$C$3))</f>
        <v>629</v>
      </c>
      <c r="O34" s="6" t="s">
        <v>4</v>
      </c>
      <c r="P34" s="6" t="s">
        <v>470</v>
      </c>
      <c r="Q34" s="6" t="s">
        <v>471</v>
      </c>
      <c r="R34" s="6" t="s">
        <v>472</v>
      </c>
      <c r="S34" s="6" t="s">
        <v>473</v>
      </c>
      <c r="T34" s="6" t="s">
        <v>474</v>
      </c>
      <c r="U34" s="6" t="s">
        <v>89</v>
      </c>
      <c r="V34" s="6" t="s">
        <v>475</v>
      </c>
      <c r="W34" s="6" t="s">
        <v>476</v>
      </c>
      <c r="X34" s="6" t="s">
        <v>477</v>
      </c>
      <c r="Y34" s="6" t="s">
        <v>478</v>
      </c>
      <c r="Z34" s="6" t="s">
        <v>79</v>
      </c>
      <c r="AA34" s="6" t="s">
        <v>80</v>
      </c>
    </row>
    <row r="35" customFormat="false" ht="53.7" hidden="false" customHeight="false" outlineLevel="0" collapsed="false">
      <c r="A35" s="6" t="s">
        <v>479</v>
      </c>
      <c r="B35" s="6" t="s">
        <v>480</v>
      </c>
      <c r="C35" s="6" t="s">
        <v>481</v>
      </c>
      <c r="D35" s="6" t="s">
        <v>482</v>
      </c>
      <c r="E35" s="6" t="s">
        <v>21</v>
      </c>
      <c r="F35" s="6" t="s">
        <v>63</v>
      </c>
      <c r="G35" s="6" t="s">
        <v>122</v>
      </c>
      <c r="H35" s="6" t="s">
        <v>65</v>
      </c>
      <c r="I35" s="6" t="s">
        <v>483</v>
      </c>
      <c r="J35" s="6" t="s">
        <v>484</v>
      </c>
      <c r="K35" s="7" t="n">
        <v>46721</v>
      </c>
      <c r="L35" s="6" t="s">
        <v>68</v>
      </c>
      <c r="M35" s="7"/>
      <c r="N35" s="8" t="n">
        <f aca="false">IF(M35&lt;&gt;"",M35-Summary!$C$3,IF(K35="","",K35-Summary!$C$3))</f>
        <v>416</v>
      </c>
      <c r="O35" s="6" t="s">
        <v>4</v>
      </c>
      <c r="P35" s="6" t="s">
        <v>69</v>
      </c>
      <c r="Q35" s="6" t="s">
        <v>485</v>
      </c>
      <c r="R35" s="6" t="s">
        <v>486</v>
      </c>
      <c r="S35" s="6" t="s">
        <v>487</v>
      </c>
      <c r="T35" s="6" t="s">
        <v>488</v>
      </c>
      <c r="U35" s="6" t="s">
        <v>89</v>
      </c>
      <c r="V35" s="6" t="s">
        <v>489</v>
      </c>
      <c r="W35" s="6" t="s">
        <v>382</v>
      </c>
      <c r="X35" s="6" t="s">
        <v>490</v>
      </c>
      <c r="Y35" s="6" t="s">
        <v>491</v>
      </c>
      <c r="Z35" s="6" t="s">
        <v>128</v>
      </c>
      <c r="AA35" s="6" t="s">
        <v>80</v>
      </c>
    </row>
    <row r="36" customFormat="false" ht="53.7" hidden="false" customHeight="false" outlineLevel="0" collapsed="false">
      <c r="A36" s="6" t="s">
        <v>492</v>
      </c>
      <c r="B36" s="6" t="s">
        <v>492</v>
      </c>
      <c r="C36" s="6" t="s">
        <v>492</v>
      </c>
      <c r="D36" s="6" t="s">
        <v>493</v>
      </c>
      <c r="E36" s="6" t="s">
        <v>21</v>
      </c>
      <c r="F36" s="6" t="s">
        <v>494</v>
      </c>
      <c r="G36" s="6" t="s">
        <v>122</v>
      </c>
      <c r="H36" s="6" t="s">
        <v>65</v>
      </c>
      <c r="I36" s="6" t="s">
        <v>495</v>
      </c>
      <c r="J36" s="6" t="s">
        <v>496</v>
      </c>
      <c r="K36" s="7" t="n">
        <v>47332</v>
      </c>
      <c r="L36" s="6" t="s">
        <v>68</v>
      </c>
      <c r="M36" s="7"/>
      <c r="N36" s="8" t="n">
        <f aca="false">IF(M36&lt;&gt;"",M36-Summary!$C$3,IF(K36="","",K36-Summary!$C$3))</f>
        <v>1027</v>
      </c>
      <c r="O36" s="6" t="s">
        <v>4</v>
      </c>
      <c r="P36" s="6" t="s">
        <v>69</v>
      </c>
      <c r="Q36" s="6" t="s">
        <v>134</v>
      </c>
      <c r="R36" s="6" t="s">
        <v>497</v>
      </c>
      <c r="S36" s="6" t="s">
        <v>498</v>
      </c>
      <c r="T36" s="6" t="s">
        <v>89</v>
      </c>
      <c r="U36" s="6" t="s">
        <v>89</v>
      </c>
      <c r="V36" s="6" t="s">
        <v>499</v>
      </c>
      <c r="W36" s="6" t="s">
        <v>500</v>
      </c>
      <c r="X36" s="6" t="s">
        <v>501</v>
      </c>
      <c r="Y36" s="6" t="s">
        <v>502</v>
      </c>
      <c r="Z36" s="6" t="s">
        <v>79</v>
      </c>
      <c r="AA36" s="6" t="s">
        <v>194</v>
      </c>
    </row>
    <row r="37" customFormat="false" ht="53.7" hidden="false" customHeight="false" outlineLevel="0" collapsed="false">
      <c r="A37" s="6" t="s">
        <v>503</v>
      </c>
      <c r="B37" s="6" t="s">
        <v>504</v>
      </c>
      <c r="C37" s="6" t="s">
        <v>503</v>
      </c>
      <c r="D37" s="6" t="s">
        <v>505</v>
      </c>
      <c r="E37" s="6" t="s">
        <v>21</v>
      </c>
      <c r="F37" s="6" t="s">
        <v>162</v>
      </c>
      <c r="G37" s="6" t="s">
        <v>506</v>
      </c>
      <c r="H37" s="6" t="s">
        <v>65</v>
      </c>
      <c r="I37" s="6" t="s">
        <v>507</v>
      </c>
      <c r="J37" s="6" t="s">
        <v>508</v>
      </c>
      <c r="K37" s="7" t="n">
        <v>45263</v>
      </c>
      <c r="L37" s="6" t="s">
        <v>68</v>
      </c>
      <c r="M37" s="7" t="n">
        <v>46359</v>
      </c>
      <c r="N37" s="8" t="n">
        <f aca="false">IF(M37&lt;&gt;"",M37-Summary!$C$3,IF(K37="","",K37-Summary!$C$3))</f>
        <v>54</v>
      </c>
      <c r="O37" s="6" t="s">
        <v>4</v>
      </c>
      <c r="P37" s="6" t="s">
        <v>69</v>
      </c>
      <c r="Q37" s="6" t="s">
        <v>509</v>
      </c>
      <c r="R37" s="6" t="s">
        <v>510</v>
      </c>
      <c r="S37" s="6" t="s">
        <v>511</v>
      </c>
      <c r="T37" s="6" t="s">
        <v>89</v>
      </c>
      <c r="U37" s="6" t="s">
        <v>512</v>
      </c>
      <c r="V37" s="6" t="s">
        <v>513</v>
      </c>
      <c r="W37" s="6" t="s">
        <v>514</v>
      </c>
      <c r="X37" s="6" t="s">
        <v>515</v>
      </c>
      <c r="Y37" s="6" t="s">
        <v>516</v>
      </c>
      <c r="Z37" s="6" t="s">
        <v>128</v>
      </c>
      <c r="AA37" s="6" t="s">
        <v>194</v>
      </c>
    </row>
    <row r="38" customFormat="false" ht="74.6" hidden="false" customHeight="false" outlineLevel="0" collapsed="false">
      <c r="A38" s="6" t="s">
        <v>517</v>
      </c>
      <c r="B38" s="6" t="s">
        <v>518</v>
      </c>
      <c r="C38" s="6" t="s">
        <v>519</v>
      </c>
      <c r="D38" s="6" t="s">
        <v>520</v>
      </c>
      <c r="E38" s="6" t="s">
        <v>17</v>
      </c>
      <c r="F38" s="6" t="s">
        <v>521</v>
      </c>
      <c r="G38" s="6" t="s">
        <v>122</v>
      </c>
      <c r="H38" s="6" t="s">
        <v>522</v>
      </c>
      <c r="I38" s="6" t="s">
        <v>523</v>
      </c>
      <c r="J38" s="6" t="s">
        <v>524</v>
      </c>
      <c r="K38" s="7" t="n">
        <v>46904</v>
      </c>
      <c r="L38" s="6" t="s">
        <v>68</v>
      </c>
      <c r="M38" s="7"/>
      <c r="N38" s="8" t="n">
        <f aca="false">IF(M38&lt;&gt;"",M38-Summary!$C$3,IF(K38="","",K38-Summary!$C$3))</f>
        <v>599</v>
      </c>
      <c r="O38" s="6" t="s">
        <v>4</v>
      </c>
      <c r="P38" s="6" t="s">
        <v>525</v>
      </c>
      <c r="Q38" s="6" t="s">
        <v>89</v>
      </c>
      <c r="R38" s="6" t="s">
        <v>526</v>
      </c>
      <c r="S38" s="6" t="s">
        <v>527</v>
      </c>
      <c r="T38" s="6" t="s">
        <v>89</v>
      </c>
      <c r="U38" s="6" t="s">
        <v>528</v>
      </c>
      <c r="V38" s="6" t="s">
        <v>89</v>
      </c>
      <c r="W38" s="6" t="s">
        <v>529</v>
      </c>
      <c r="X38" s="6" t="s">
        <v>530</v>
      </c>
      <c r="Y38" s="6" t="s">
        <v>531</v>
      </c>
      <c r="Z38" s="6" t="s">
        <v>79</v>
      </c>
      <c r="AA38" s="6" t="s">
        <v>80</v>
      </c>
    </row>
    <row r="39" customFormat="false" ht="64.15" hidden="false" customHeight="false" outlineLevel="0" collapsed="false">
      <c r="A39" s="6" t="s">
        <v>532</v>
      </c>
      <c r="B39" s="6" t="s">
        <v>533</v>
      </c>
      <c r="C39" s="6" t="s">
        <v>534</v>
      </c>
      <c r="D39" s="6" t="s">
        <v>535</v>
      </c>
      <c r="E39" s="6" t="s">
        <v>17</v>
      </c>
      <c r="F39" s="6" t="s">
        <v>89</v>
      </c>
      <c r="G39" s="6" t="s">
        <v>536</v>
      </c>
      <c r="H39" s="6" t="s">
        <v>65</v>
      </c>
      <c r="I39" s="6" t="s">
        <v>537</v>
      </c>
      <c r="J39" s="6" t="s">
        <v>89</v>
      </c>
      <c r="K39" s="7"/>
      <c r="L39" s="6" t="s">
        <v>88</v>
      </c>
      <c r="M39" s="7"/>
      <c r="N39" s="8" t="str">
        <f aca="false">IF(M39&lt;&gt;"",M39-Summary!$C$3,IF(K39="","",K39-Summary!$C$3))</f>
        <v/>
      </c>
      <c r="O39" s="6" t="s">
        <v>4</v>
      </c>
      <c r="P39" s="6" t="s">
        <v>89</v>
      </c>
      <c r="Q39" s="6" t="s">
        <v>89</v>
      </c>
      <c r="R39" s="6" t="s">
        <v>538</v>
      </c>
      <c r="S39" s="6" t="s">
        <v>89</v>
      </c>
      <c r="T39" s="6" t="s">
        <v>89</v>
      </c>
      <c r="U39" s="6" t="s">
        <v>89</v>
      </c>
      <c r="V39" s="6" t="s">
        <v>89</v>
      </c>
      <c r="W39" s="6" t="s">
        <v>89</v>
      </c>
      <c r="X39" s="6" t="s">
        <v>539</v>
      </c>
      <c r="Y39" s="6" t="s">
        <v>540</v>
      </c>
      <c r="Z39" s="6" t="s">
        <v>128</v>
      </c>
      <c r="AA39" s="6" t="s">
        <v>194</v>
      </c>
    </row>
    <row r="40" customFormat="false" ht="43.25" hidden="false" customHeight="false" outlineLevel="0" collapsed="false">
      <c r="A40" s="6" t="s">
        <v>541</v>
      </c>
      <c r="B40" s="6" t="s">
        <v>542</v>
      </c>
      <c r="C40" s="6" t="s">
        <v>543</v>
      </c>
      <c r="D40" s="6" t="s">
        <v>544</v>
      </c>
      <c r="E40" s="6" t="s">
        <v>18</v>
      </c>
      <c r="F40" s="6" t="s">
        <v>289</v>
      </c>
      <c r="G40" s="6" t="s">
        <v>122</v>
      </c>
      <c r="H40" s="6" t="s">
        <v>65</v>
      </c>
      <c r="I40" s="6" t="s">
        <v>545</v>
      </c>
      <c r="J40" s="6" t="s">
        <v>201</v>
      </c>
      <c r="K40" s="7" t="n">
        <v>47299</v>
      </c>
      <c r="L40" s="6" t="s">
        <v>68</v>
      </c>
      <c r="M40" s="7"/>
      <c r="N40" s="8" t="n">
        <f aca="false">IF(M40&lt;&gt;"",M40-Summary!$C$3,IF(K40="","",K40-Summary!$C$3))</f>
        <v>994</v>
      </c>
      <c r="O40" s="6" t="s">
        <v>4</v>
      </c>
      <c r="P40" s="6" t="s">
        <v>546</v>
      </c>
      <c r="Q40" s="6" t="s">
        <v>89</v>
      </c>
      <c r="R40" s="6" t="s">
        <v>547</v>
      </c>
      <c r="S40" s="6" t="s">
        <v>548</v>
      </c>
      <c r="T40" s="6" t="s">
        <v>89</v>
      </c>
      <c r="U40" s="6" t="s">
        <v>89</v>
      </c>
      <c r="V40" s="6" t="s">
        <v>89</v>
      </c>
      <c r="W40" s="6" t="s">
        <v>89</v>
      </c>
      <c r="X40" s="6" t="s">
        <v>89</v>
      </c>
      <c r="Y40" s="6" t="s">
        <v>549</v>
      </c>
      <c r="Z40" s="6" t="s">
        <v>79</v>
      </c>
      <c r="AA40" s="6" t="s">
        <v>80</v>
      </c>
    </row>
    <row r="41" customFormat="false" ht="43.25" hidden="false" customHeight="false" outlineLevel="0" collapsed="false">
      <c r="A41" s="6" t="s">
        <v>550</v>
      </c>
      <c r="B41" s="6" t="s">
        <v>551</v>
      </c>
      <c r="C41" s="6" t="s">
        <v>550</v>
      </c>
      <c r="D41" s="6" t="s">
        <v>552</v>
      </c>
      <c r="E41" s="6" t="s">
        <v>21</v>
      </c>
      <c r="F41" s="6" t="s">
        <v>162</v>
      </c>
      <c r="G41" s="6" t="s">
        <v>553</v>
      </c>
      <c r="H41" s="6" t="s">
        <v>65</v>
      </c>
      <c r="I41" s="6" t="s">
        <v>554</v>
      </c>
      <c r="J41" s="6" t="s">
        <v>555</v>
      </c>
      <c r="K41" s="7" t="n">
        <v>45242</v>
      </c>
      <c r="L41" s="6" t="s">
        <v>68</v>
      </c>
      <c r="M41" s="7" t="n">
        <v>46338</v>
      </c>
      <c r="N41" s="8" t="n">
        <f aca="false">IF(M41&lt;&gt;"",M41-Summary!$C$3,IF(K41="","",K41-Summary!$C$3))</f>
        <v>33</v>
      </c>
      <c r="O41" s="6" t="s">
        <v>4</v>
      </c>
      <c r="P41" s="6" t="s">
        <v>69</v>
      </c>
      <c r="Q41" s="6" t="s">
        <v>556</v>
      </c>
      <c r="R41" s="6" t="s">
        <v>557</v>
      </c>
      <c r="S41" s="6" t="s">
        <v>558</v>
      </c>
      <c r="T41" s="6" t="s">
        <v>559</v>
      </c>
      <c r="U41" s="6" t="s">
        <v>560</v>
      </c>
      <c r="V41" s="6" t="s">
        <v>561</v>
      </c>
      <c r="W41" s="6" t="s">
        <v>562</v>
      </c>
      <c r="X41" s="6" t="s">
        <v>563</v>
      </c>
      <c r="Y41" s="6" t="s">
        <v>564</v>
      </c>
      <c r="Z41" s="6" t="s">
        <v>128</v>
      </c>
      <c r="AA41" s="6" t="s">
        <v>194</v>
      </c>
    </row>
    <row r="42" customFormat="false" ht="53.7" hidden="false" customHeight="false" outlineLevel="0" collapsed="false">
      <c r="A42" s="6" t="s">
        <v>550</v>
      </c>
      <c r="B42" s="6" t="s">
        <v>565</v>
      </c>
      <c r="C42" s="6" t="s">
        <v>566</v>
      </c>
      <c r="D42" s="6" t="s">
        <v>567</v>
      </c>
      <c r="E42" s="6" t="s">
        <v>21</v>
      </c>
      <c r="F42" s="6" t="s">
        <v>131</v>
      </c>
      <c r="G42" s="6" t="s">
        <v>122</v>
      </c>
      <c r="H42" s="6" t="s">
        <v>568</v>
      </c>
      <c r="I42" s="6" t="s">
        <v>569</v>
      </c>
      <c r="J42" s="6" t="s">
        <v>570</v>
      </c>
      <c r="K42" s="7" t="n">
        <v>45382</v>
      </c>
      <c r="L42" s="6" t="s">
        <v>68</v>
      </c>
      <c r="M42" s="7"/>
      <c r="N42" s="8" t="n">
        <f aca="false">IF(M42&lt;&gt;"",M42-Summary!$C$3,IF(K42="","",K42-Summary!$C$3))</f>
        <v>-923</v>
      </c>
      <c r="O42" s="6" t="s">
        <v>4</v>
      </c>
      <c r="P42" s="6" t="s">
        <v>571</v>
      </c>
      <c r="Q42" s="6" t="s">
        <v>572</v>
      </c>
      <c r="R42" s="6" t="s">
        <v>573</v>
      </c>
      <c r="S42" s="6" t="s">
        <v>574</v>
      </c>
      <c r="T42" s="6" t="s">
        <v>89</v>
      </c>
      <c r="U42" s="6" t="s">
        <v>89</v>
      </c>
      <c r="V42" s="6" t="s">
        <v>89</v>
      </c>
      <c r="W42" s="6" t="s">
        <v>575</v>
      </c>
      <c r="X42" s="6" t="s">
        <v>576</v>
      </c>
      <c r="Y42" s="6" t="s">
        <v>577</v>
      </c>
      <c r="Z42" s="6" t="s">
        <v>128</v>
      </c>
      <c r="AA42" s="6" t="s">
        <v>80</v>
      </c>
    </row>
    <row r="43" customFormat="false" ht="53.7" hidden="false" customHeight="false" outlineLevel="0" collapsed="false">
      <c r="A43" s="6" t="s">
        <v>578</v>
      </c>
      <c r="B43" s="6" t="s">
        <v>579</v>
      </c>
      <c r="C43" s="6" t="s">
        <v>580</v>
      </c>
      <c r="D43" s="6" t="s">
        <v>581</v>
      </c>
      <c r="E43" s="6" t="s">
        <v>21</v>
      </c>
      <c r="F43" s="6" t="s">
        <v>147</v>
      </c>
      <c r="G43" s="6" t="s">
        <v>122</v>
      </c>
      <c r="H43" s="6" t="s">
        <v>568</v>
      </c>
      <c r="I43" s="6" t="s">
        <v>582</v>
      </c>
      <c r="J43" s="6" t="s">
        <v>583</v>
      </c>
      <c r="K43" s="7" t="n">
        <v>45765</v>
      </c>
      <c r="L43" s="6" t="s">
        <v>68</v>
      </c>
      <c r="M43" s="7"/>
      <c r="N43" s="8" t="n">
        <f aca="false">IF(M43&lt;&gt;"",M43-Summary!$C$3,IF(K43="","",K43-Summary!$C$3))</f>
        <v>-540</v>
      </c>
      <c r="O43" s="6" t="s">
        <v>4</v>
      </c>
      <c r="P43" s="6" t="s">
        <v>69</v>
      </c>
      <c r="Q43" s="6" t="s">
        <v>584</v>
      </c>
      <c r="R43" s="6" t="s">
        <v>326</v>
      </c>
      <c r="S43" s="6" t="s">
        <v>585</v>
      </c>
      <c r="T43" s="6" t="s">
        <v>586</v>
      </c>
      <c r="U43" s="6" t="s">
        <v>216</v>
      </c>
      <c r="V43" s="6" t="s">
        <v>587</v>
      </c>
      <c r="W43" s="6" t="s">
        <v>588</v>
      </c>
      <c r="X43" s="6" t="s">
        <v>589</v>
      </c>
      <c r="Y43" s="6" t="s">
        <v>590</v>
      </c>
      <c r="Z43" s="6" t="s">
        <v>79</v>
      </c>
      <c r="AA43" s="6" t="s">
        <v>80</v>
      </c>
    </row>
    <row r="44" customFormat="false" ht="43.25" hidden="false" customHeight="false" outlineLevel="0" collapsed="false">
      <c r="A44" s="6" t="s">
        <v>591</v>
      </c>
      <c r="B44" s="6" t="s">
        <v>592</v>
      </c>
      <c r="C44" s="6" t="s">
        <v>591</v>
      </c>
      <c r="D44" s="6" t="s">
        <v>593</v>
      </c>
      <c r="E44" s="6" t="s">
        <v>21</v>
      </c>
      <c r="F44" s="6" t="s">
        <v>162</v>
      </c>
      <c r="G44" s="6" t="s">
        <v>594</v>
      </c>
      <c r="H44" s="6" t="s">
        <v>344</v>
      </c>
      <c r="I44" s="6" t="s">
        <v>595</v>
      </c>
      <c r="J44" s="6" t="s">
        <v>596</v>
      </c>
      <c r="K44" s="7" t="n">
        <v>44476</v>
      </c>
      <c r="L44" s="6" t="s">
        <v>68</v>
      </c>
      <c r="M44" s="7" t="n">
        <v>46667</v>
      </c>
      <c r="N44" s="8" t="n">
        <f aca="false">IF(M44&lt;&gt;"",M44-Summary!$C$3,IF(K44="","",K44-Summary!$C$3))</f>
        <v>362</v>
      </c>
      <c r="O44" s="6" t="s">
        <v>4</v>
      </c>
      <c r="P44" s="6" t="s">
        <v>69</v>
      </c>
      <c r="Q44" s="6" t="s">
        <v>556</v>
      </c>
      <c r="R44" s="6" t="s">
        <v>597</v>
      </c>
      <c r="S44" s="6" t="s">
        <v>598</v>
      </c>
      <c r="T44" s="6" t="s">
        <v>89</v>
      </c>
      <c r="U44" s="6" t="s">
        <v>599</v>
      </c>
      <c r="V44" s="6" t="s">
        <v>89</v>
      </c>
      <c r="W44" s="6" t="s">
        <v>600</v>
      </c>
      <c r="X44" s="6" t="s">
        <v>601</v>
      </c>
      <c r="Y44" s="6" t="s">
        <v>602</v>
      </c>
      <c r="Z44" s="6" t="s">
        <v>128</v>
      </c>
      <c r="AA44" s="6" t="s">
        <v>194</v>
      </c>
    </row>
    <row r="45" customFormat="false" ht="53.7" hidden="false" customHeight="false" outlineLevel="0" collapsed="false">
      <c r="A45" s="6" t="s">
        <v>603</v>
      </c>
      <c r="B45" s="6" t="s">
        <v>604</v>
      </c>
      <c r="C45" s="6" t="s">
        <v>605</v>
      </c>
      <c r="D45" s="6" t="s">
        <v>606</v>
      </c>
      <c r="E45" s="6" t="s">
        <v>26</v>
      </c>
      <c r="F45" s="6" t="s">
        <v>607</v>
      </c>
      <c r="G45" s="6" t="s">
        <v>608</v>
      </c>
      <c r="H45" s="6" t="s">
        <v>609</v>
      </c>
      <c r="I45" s="6" t="s">
        <v>610</v>
      </c>
      <c r="J45" s="6" t="s">
        <v>611</v>
      </c>
      <c r="K45" s="7" t="n">
        <v>46843</v>
      </c>
      <c r="L45" s="6" t="s">
        <v>68</v>
      </c>
      <c r="M45" s="7"/>
      <c r="N45" s="8" t="n">
        <f aca="false">IF(M45&lt;&gt;"",M45-Summary!$C$3,IF(K45="","",K45-Summary!$C$3))</f>
        <v>538</v>
      </c>
      <c r="O45" s="6" t="s">
        <v>4</v>
      </c>
      <c r="P45" s="6" t="s">
        <v>150</v>
      </c>
      <c r="Q45" s="6" t="s">
        <v>89</v>
      </c>
      <c r="R45" s="6" t="s">
        <v>612</v>
      </c>
      <c r="S45" s="6" t="s">
        <v>613</v>
      </c>
      <c r="T45" s="6" t="s">
        <v>614</v>
      </c>
      <c r="U45" s="6" t="s">
        <v>89</v>
      </c>
      <c r="V45" s="6" t="s">
        <v>615</v>
      </c>
      <c r="W45" s="6" t="s">
        <v>89</v>
      </c>
      <c r="X45" s="6" t="s">
        <v>616</v>
      </c>
      <c r="Y45" s="6" t="s">
        <v>617</v>
      </c>
      <c r="Z45" s="6" t="s">
        <v>128</v>
      </c>
      <c r="AA45" s="6" t="s">
        <v>80</v>
      </c>
    </row>
    <row r="46" customFormat="false" ht="43.25" hidden="false" customHeight="false" outlineLevel="0" collapsed="false">
      <c r="A46" s="6" t="s">
        <v>618</v>
      </c>
      <c r="B46" s="6" t="s">
        <v>619</v>
      </c>
      <c r="C46" s="6" t="s">
        <v>620</v>
      </c>
      <c r="D46" s="6" t="s">
        <v>621</v>
      </c>
      <c r="E46" s="6" t="s">
        <v>21</v>
      </c>
      <c r="F46" s="6" t="s">
        <v>162</v>
      </c>
      <c r="G46" s="6" t="s">
        <v>122</v>
      </c>
      <c r="H46" s="6" t="s">
        <v>65</v>
      </c>
      <c r="I46" s="6" t="s">
        <v>622</v>
      </c>
      <c r="J46" s="6" t="s">
        <v>623</v>
      </c>
      <c r="K46" s="7" t="n">
        <v>47483</v>
      </c>
      <c r="L46" s="6" t="s">
        <v>68</v>
      </c>
      <c r="M46" s="7"/>
      <c r="N46" s="8" t="n">
        <f aca="false">IF(M46&lt;&gt;"",M46-Summary!$C$3,IF(K46="","",K46-Summary!$C$3))</f>
        <v>1178</v>
      </c>
      <c r="O46" s="6" t="s">
        <v>4</v>
      </c>
      <c r="P46" s="6" t="s">
        <v>150</v>
      </c>
      <c r="Q46" s="6" t="s">
        <v>134</v>
      </c>
      <c r="R46" s="6" t="s">
        <v>624</v>
      </c>
      <c r="S46" s="6" t="s">
        <v>625</v>
      </c>
      <c r="T46" s="6" t="s">
        <v>626</v>
      </c>
      <c r="U46" s="6" t="s">
        <v>627</v>
      </c>
      <c r="V46" s="6" t="s">
        <v>628</v>
      </c>
      <c r="W46" s="6" t="s">
        <v>629</v>
      </c>
      <c r="X46" s="6" t="s">
        <v>630</v>
      </c>
      <c r="Y46" s="6" t="s">
        <v>631</v>
      </c>
      <c r="Z46" s="6" t="s">
        <v>79</v>
      </c>
      <c r="AA46" s="6" t="s">
        <v>80</v>
      </c>
    </row>
    <row r="47" customFormat="false" ht="53.7" hidden="false" customHeight="false" outlineLevel="0" collapsed="false">
      <c r="A47" s="6" t="s">
        <v>632</v>
      </c>
      <c r="B47" s="6" t="s">
        <v>633</v>
      </c>
      <c r="C47" s="6" t="s">
        <v>634</v>
      </c>
      <c r="D47" s="6" t="s">
        <v>635</v>
      </c>
      <c r="E47" s="6" t="s">
        <v>18</v>
      </c>
      <c r="F47" s="6" t="s">
        <v>224</v>
      </c>
      <c r="G47" s="6" t="s">
        <v>636</v>
      </c>
      <c r="H47" s="6" t="s">
        <v>65</v>
      </c>
      <c r="I47" s="6" t="s">
        <v>200</v>
      </c>
      <c r="J47" s="6" t="s">
        <v>637</v>
      </c>
      <c r="K47" s="7" t="n">
        <v>46568</v>
      </c>
      <c r="L47" s="6" t="s">
        <v>68</v>
      </c>
      <c r="M47" s="7"/>
      <c r="N47" s="8" t="n">
        <f aca="false">IF(M47&lt;&gt;"",M47-Summary!$C$3,IF(K47="","",K47-Summary!$C$3))</f>
        <v>263</v>
      </c>
      <c r="O47" s="6" t="s">
        <v>4</v>
      </c>
      <c r="P47" s="6" t="s">
        <v>638</v>
      </c>
      <c r="Q47" s="6" t="s">
        <v>639</v>
      </c>
      <c r="R47" s="6" t="s">
        <v>640</v>
      </c>
      <c r="S47" s="6" t="s">
        <v>641</v>
      </c>
      <c r="T47" s="6" t="s">
        <v>89</v>
      </c>
      <c r="U47" s="6" t="s">
        <v>89</v>
      </c>
      <c r="V47" s="6" t="s">
        <v>89</v>
      </c>
      <c r="W47" s="6" t="s">
        <v>89</v>
      </c>
      <c r="X47" s="6" t="s">
        <v>89</v>
      </c>
      <c r="Y47" s="6" t="s">
        <v>642</v>
      </c>
      <c r="Z47" s="6" t="s">
        <v>79</v>
      </c>
      <c r="AA47" s="6" t="s">
        <v>80</v>
      </c>
    </row>
    <row r="48" customFormat="false" ht="53.7" hidden="false" customHeight="false" outlineLevel="0" collapsed="false">
      <c r="A48" s="6" t="s">
        <v>643</v>
      </c>
      <c r="B48" s="6" t="s">
        <v>643</v>
      </c>
      <c r="C48" s="6" t="s">
        <v>643</v>
      </c>
      <c r="D48" s="6" t="s">
        <v>644</v>
      </c>
      <c r="E48" s="6" t="s">
        <v>21</v>
      </c>
      <c r="F48" s="6" t="s">
        <v>63</v>
      </c>
      <c r="G48" s="6" t="s">
        <v>122</v>
      </c>
      <c r="H48" s="6" t="s">
        <v>65</v>
      </c>
      <c r="I48" s="6" t="s">
        <v>645</v>
      </c>
      <c r="J48" s="6" t="s">
        <v>646</v>
      </c>
      <c r="K48" s="7" t="n">
        <v>47223</v>
      </c>
      <c r="L48" s="6" t="s">
        <v>68</v>
      </c>
      <c r="M48" s="7"/>
      <c r="N48" s="8" t="n">
        <f aca="false">IF(M48&lt;&gt;"",M48-Summary!$C$3,IF(K48="","",K48-Summary!$C$3))</f>
        <v>918</v>
      </c>
      <c r="O48" s="6" t="s">
        <v>4</v>
      </c>
      <c r="P48" s="6" t="s">
        <v>69</v>
      </c>
      <c r="Q48" s="6" t="s">
        <v>134</v>
      </c>
      <c r="R48" s="6" t="s">
        <v>647</v>
      </c>
      <c r="S48" s="6" t="s">
        <v>648</v>
      </c>
      <c r="T48" s="6" t="s">
        <v>649</v>
      </c>
      <c r="U48" s="6" t="s">
        <v>89</v>
      </c>
      <c r="V48" s="6" t="s">
        <v>650</v>
      </c>
      <c r="W48" s="6" t="s">
        <v>651</v>
      </c>
      <c r="X48" s="6" t="s">
        <v>652</v>
      </c>
      <c r="Y48" s="6" t="s">
        <v>653</v>
      </c>
      <c r="Z48" s="6" t="s">
        <v>79</v>
      </c>
      <c r="AA48" s="6" t="s">
        <v>194</v>
      </c>
    </row>
    <row r="49" customFormat="false" ht="43.25" hidden="false" customHeight="false" outlineLevel="0" collapsed="false">
      <c r="A49" s="6" t="s">
        <v>654</v>
      </c>
      <c r="B49" s="6" t="s">
        <v>655</v>
      </c>
      <c r="C49" s="6" t="s">
        <v>656</v>
      </c>
      <c r="D49" s="6" t="s">
        <v>657</v>
      </c>
      <c r="E49" s="6" t="s">
        <v>20</v>
      </c>
      <c r="F49" s="6" t="s">
        <v>147</v>
      </c>
      <c r="G49" s="6" t="s">
        <v>658</v>
      </c>
      <c r="H49" s="6" t="s">
        <v>65</v>
      </c>
      <c r="I49" s="6" t="s">
        <v>659</v>
      </c>
      <c r="J49" s="6" t="s">
        <v>660</v>
      </c>
      <c r="K49" s="7" t="n">
        <v>46660</v>
      </c>
      <c r="L49" s="6" t="s">
        <v>68</v>
      </c>
      <c r="M49" s="7"/>
      <c r="N49" s="8" t="n">
        <f aca="false">IF(M49&lt;&gt;"",M49-Summary!$C$3,IF(K49="","",K49-Summary!$C$3))</f>
        <v>355</v>
      </c>
      <c r="O49" s="6" t="s">
        <v>4</v>
      </c>
      <c r="P49" s="6" t="s">
        <v>89</v>
      </c>
      <c r="Q49" s="6" t="s">
        <v>110</v>
      </c>
      <c r="R49" s="6" t="s">
        <v>661</v>
      </c>
      <c r="S49" s="6" t="s">
        <v>662</v>
      </c>
      <c r="T49" s="6" t="s">
        <v>89</v>
      </c>
      <c r="U49" s="6" t="s">
        <v>663</v>
      </c>
      <c r="V49" s="6" t="s">
        <v>664</v>
      </c>
      <c r="W49" s="6" t="s">
        <v>89</v>
      </c>
      <c r="X49" s="6" t="s">
        <v>665</v>
      </c>
      <c r="Y49" s="6" t="s">
        <v>666</v>
      </c>
      <c r="Z49" s="6" t="s">
        <v>79</v>
      </c>
      <c r="AA49" s="6" t="s">
        <v>80</v>
      </c>
    </row>
    <row r="50" customFormat="false" ht="53.7" hidden="false" customHeight="false" outlineLevel="0" collapsed="false">
      <c r="A50" s="6" t="s">
        <v>654</v>
      </c>
      <c r="B50" s="6" t="s">
        <v>667</v>
      </c>
      <c r="C50" s="6" t="s">
        <v>634</v>
      </c>
      <c r="D50" s="6" t="s">
        <v>668</v>
      </c>
      <c r="E50" s="6" t="s">
        <v>19</v>
      </c>
      <c r="F50" s="6" t="s">
        <v>427</v>
      </c>
      <c r="G50" s="6" t="s">
        <v>658</v>
      </c>
      <c r="H50" s="6" t="s">
        <v>669</v>
      </c>
      <c r="I50" s="6" t="s">
        <v>670</v>
      </c>
      <c r="J50" s="6" t="s">
        <v>334</v>
      </c>
      <c r="K50" s="7" t="n">
        <v>46660</v>
      </c>
      <c r="L50" s="6" t="s">
        <v>68</v>
      </c>
      <c r="M50" s="7"/>
      <c r="N50" s="8" t="n">
        <f aca="false">IF(M50&lt;&gt;"",M50-Summary!$C$3,IF(K50="","",K50-Summary!$C$3))</f>
        <v>355</v>
      </c>
      <c r="O50" s="6" t="s">
        <v>4</v>
      </c>
      <c r="P50" s="6" t="s">
        <v>671</v>
      </c>
      <c r="Q50" s="6" t="s">
        <v>672</v>
      </c>
      <c r="R50" s="6" t="s">
        <v>673</v>
      </c>
      <c r="S50" s="6" t="s">
        <v>674</v>
      </c>
      <c r="T50" s="6" t="s">
        <v>675</v>
      </c>
      <c r="U50" s="6" t="s">
        <v>676</v>
      </c>
      <c r="V50" s="6" t="s">
        <v>677</v>
      </c>
      <c r="W50" s="6" t="s">
        <v>678</v>
      </c>
      <c r="X50" s="6" t="s">
        <v>679</v>
      </c>
      <c r="Y50" s="6" t="s">
        <v>680</v>
      </c>
      <c r="Z50" s="6" t="s">
        <v>79</v>
      </c>
      <c r="AA50" s="6" t="s">
        <v>80</v>
      </c>
    </row>
    <row r="51" customFormat="false" ht="32.8" hidden="false" customHeight="false" outlineLevel="0" collapsed="false">
      <c r="A51" s="6" t="s">
        <v>654</v>
      </c>
      <c r="B51" s="6" t="s">
        <v>667</v>
      </c>
      <c r="C51" s="6" t="s">
        <v>634</v>
      </c>
      <c r="D51" s="6" t="s">
        <v>681</v>
      </c>
      <c r="E51" s="6" t="s">
        <v>18</v>
      </c>
      <c r="F51" s="6" t="s">
        <v>224</v>
      </c>
      <c r="G51" s="6" t="s">
        <v>682</v>
      </c>
      <c r="H51" s="6" t="s">
        <v>65</v>
      </c>
      <c r="I51" s="6" t="s">
        <v>683</v>
      </c>
      <c r="J51" s="6" t="s">
        <v>684</v>
      </c>
      <c r="K51" s="7" t="n">
        <v>47330</v>
      </c>
      <c r="L51" s="6" t="s">
        <v>68</v>
      </c>
      <c r="M51" s="7"/>
      <c r="N51" s="8" t="n">
        <f aca="false">IF(M51&lt;&gt;"",M51-Summary!$C$3,IF(K51="","",K51-Summary!$C$3))</f>
        <v>1025</v>
      </c>
      <c r="O51" s="6" t="s">
        <v>4</v>
      </c>
      <c r="P51" s="6" t="s">
        <v>685</v>
      </c>
      <c r="Q51" s="6" t="s">
        <v>110</v>
      </c>
      <c r="R51" s="6" t="s">
        <v>89</v>
      </c>
      <c r="S51" s="6" t="s">
        <v>686</v>
      </c>
      <c r="T51" s="6" t="s">
        <v>89</v>
      </c>
      <c r="U51" s="6" t="s">
        <v>89</v>
      </c>
      <c r="V51" s="6" t="s">
        <v>89</v>
      </c>
      <c r="W51" s="6" t="s">
        <v>89</v>
      </c>
      <c r="X51" s="6" t="s">
        <v>89</v>
      </c>
      <c r="Y51" s="6" t="s">
        <v>687</v>
      </c>
      <c r="Z51" s="6" t="s">
        <v>79</v>
      </c>
      <c r="AA51" s="6" t="s">
        <v>80</v>
      </c>
    </row>
    <row r="52" customFormat="false" ht="43.25" hidden="false" customHeight="false" outlineLevel="0" collapsed="false">
      <c r="A52" s="6" t="s">
        <v>654</v>
      </c>
      <c r="B52" s="6" t="s">
        <v>688</v>
      </c>
      <c r="C52" s="6" t="s">
        <v>689</v>
      </c>
      <c r="D52" s="6" t="s">
        <v>690</v>
      </c>
      <c r="E52" s="6" t="s">
        <v>20</v>
      </c>
      <c r="F52" s="6" t="s">
        <v>224</v>
      </c>
      <c r="G52" s="6" t="s">
        <v>682</v>
      </c>
      <c r="H52" s="6" t="s">
        <v>65</v>
      </c>
      <c r="I52" s="6" t="s">
        <v>691</v>
      </c>
      <c r="J52" s="6" t="s">
        <v>692</v>
      </c>
      <c r="K52" s="7" t="n">
        <v>47330</v>
      </c>
      <c r="L52" s="6" t="s">
        <v>68</v>
      </c>
      <c r="M52" s="7"/>
      <c r="N52" s="8" t="n">
        <f aca="false">IF(M52&lt;&gt;"",M52-Summary!$C$3,IF(K52="","",K52-Summary!$C$3))</f>
        <v>1025</v>
      </c>
      <c r="O52" s="6" t="s">
        <v>4</v>
      </c>
      <c r="P52" s="6" t="s">
        <v>89</v>
      </c>
      <c r="Q52" s="6" t="s">
        <v>89</v>
      </c>
      <c r="R52" s="6" t="s">
        <v>693</v>
      </c>
      <c r="S52" s="6" t="s">
        <v>694</v>
      </c>
      <c r="T52" s="6" t="s">
        <v>89</v>
      </c>
      <c r="U52" s="6" t="s">
        <v>89</v>
      </c>
      <c r="V52" s="6" t="s">
        <v>695</v>
      </c>
      <c r="W52" s="6" t="s">
        <v>89</v>
      </c>
      <c r="X52" s="6" t="s">
        <v>89</v>
      </c>
      <c r="Y52" s="6" t="s">
        <v>696</v>
      </c>
      <c r="Z52" s="6" t="s">
        <v>128</v>
      </c>
      <c r="AA52" s="6" t="s">
        <v>80</v>
      </c>
    </row>
    <row r="53" customFormat="false" ht="32.8" hidden="false" customHeight="false" outlineLevel="0" collapsed="false">
      <c r="A53" s="6" t="s">
        <v>654</v>
      </c>
      <c r="B53" s="6" t="s">
        <v>667</v>
      </c>
      <c r="C53" s="6" t="s">
        <v>634</v>
      </c>
      <c r="D53" s="6" t="s">
        <v>697</v>
      </c>
      <c r="E53" s="6" t="s">
        <v>18</v>
      </c>
      <c r="F53" s="6" t="s">
        <v>224</v>
      </c>
      <c r="G53" s="6" t="s">
        <v>682</v>
      </c>
      <c r="H53" s="6" t="s">
        <v>65</v>
      </c>
      <c r="I53" s="6" t="s">
        <v>683</v>
      </c>
      <c r="J53" s="6" t="s">
        <v>684</v>
      </c>
      <c r="K53" s="7" t="n">
        <v>47330</v>
      </c>
      <c r="L53" s="6" t="s">
        <v>68</v>
      </c>
      <c r="M53" s="7"/>
      <c r="N53" s="8" t="n">
        <f aca="false">IF(M53&lt;&gt;"",M53-Summary!$C$3,IF(K53="","",K53-Summary!$C$3))</f>
        <v>1025</v>
      </c>
      <c r="O53" s="6" t="s">
        <v>4</v>
      </c>
      <c r="P53" s="6" t="s">
        <v>698</v>
      </c>
      <c r="Q53" s="6" t="s">
        <v>110</v>
      </c>
      <c r="R53" s="6" t="s">
        <v>699</v>
      </c>
      <c r="S53" s="6" t="s">
        <v>700</v>
      </c>
      <c r="T53" s="6" t="s">
        <v>89</v>
      </c>
      <c r="U53" s="6" t="s">
        <v>89</v>
      </c>
      <c r="V53" s="6" t="s">
        <v>89</v>
      </c>
      <c r="W53" s="6" t="s">
        <v>89</v>
      </c>
      <c r="X53" s="6" t="s">
        <v>89</v>
      </c>
      <c r="Y53" s="6" t="s">
        <v>701</v>
      </c>
      <c r="Z53" s="6" t="s">
        <v>79</v>
      </c>
      <c r="AA53" s="6" t="s">
        <v>80</v>
      </c>
    </row>
    <row r="54" customFormat="false" ht="43.25" hidden="false" customHeight="false" outlineLevel="0" collapsed="false">
      <c r="A54" s="6" t="s">
        <v>702</v>
      </c>
      <c r="B54" s="6" t="s">
        <v>703</v>
      </c>
      <c r="C54" s="6" t="s">
        <v>704</v>
      </c>
      <c r="D54" s="6" t="s">
        <v>705</v>
      </c>
      <c r="E54" s="6" t="s">
        <v>21</v>
      </c>
      <c r="F54" s="6" t="s">
        <v>63</v>
      </c>
      <c r="G54" s="6" t="s">
        <v>122</v>
      </c>
      <c r="H54" s="6" t="s">
        <v>65</v>
      </c>
      <c r="I54" s="6" t="s">
        <v>706</v>
      </c>
      <c r="J54" s="6" t="s">
        <v>707</v>
      </c>
      <c r="K54" s="7" t="n">
        <v>45920</v>
      </c>
      <c r="L54" s="6" t="s">
        <v>68</v>
      </c>
      <c r="M54" s="7" t="n">
        <v>46650</v>
      </c>
      <c r="N54" s="8" t="n">
        <f aca="false">IF(M54&lt;&gt;"",M54-Summary!$C$3,IF(K54="","",K54-Summary!$C$3))</f>
        <v>345</v>
      </c>
      <c r="O54" s="6" t="s">
        <v>4</v>
      </c>
      <c r="P54" s="6" t="s">
        <v>69</v>
      </c>
      <c r="Q54" s="6" t="s">
        <v>134</v>
      </c>
      <c r="R54" s="6" t="s">
        <v>326</v>
      </c>
      <c r="S54" s="6" t="s">
        <v>708</v>
      </c>
      <c r="T54" s="6" t="s">
        <v>89</v>
      </c>
      <c r="U54" s="6" t="s">
        <v>709</v>
      </c>
      <c r="V54" s="6" t="s">
        <v>710</v>
      </c>
      <c r="W54" s="6" t="s">
        <v>711</v>
      </c>
      <c r="X54" s="6" t="s">
        <v>712</v>
      </c>
      <c r="Y54" s="6" t="s">
        <v>713</v>
      </c>
      <c r="Z54" s="6" t="s">
        <v>79</v>
      </c>
      <c r="AA54" s="6" t="s">
        <v>194</v>
      </c>
    </row>
    <row r="55" customFormat="false" ht="53.7" hidden="false" customHeight="false" outlineLevel="0" collapsed="false">
      <c r="A55" s="6" t="s">
        <v>714</v>
      </c>
      <c r="B55" s="6" t="s">
        <v>714</v>
      </c>
      <c r="C55" s="6" t="s">
        <v>715</v>
      </c>
      <c r="D55" s="6" t="s">
        <v>716</v>
      </c>
      <c r="E55" s="6" t="s">
        <v>21</v>
      </c>
      <c r="F55" s="6" t="s">
        <v>147</v>
      </c>
      <c r="G55" s="6" t="s">
        <v>717</v>
      </c>
      <c r="H55" s="6" t="s">
        <v>65</v>
      </c>
      <c r="I55" s="6" t="s">
        <v>718</v>
      </c>
      <c r="J55" s="6" t="s">
        <v>719</v>
      </c>
      <c r="K55" s="7" t="n">
        <v>47639</v>
      </c>
      <c r="L55" s="6" t="s">
        <v>68</v>
      </c>
      <c r="M55" s="7"/>
      <c r="N55" s="8" t="n">
        <f aca="false">IF(M55&lt;&gt;"",M55-Summary!$C$3,IF(K55="","",K55-Summary!$C$3))</f>
        <v>1334</v>
      </c>
      <c r="O55" s="6" t="s">
        <v>4</v>
      </c>
      <c r="P55" s="6" t="s">
        <v>150</v>
      </c>
      <c r="Q55" s="6" t="s">
        <v>720</v>
      </c>
      <c r="R55" s="6" t="s">
        <v>721</v>
      </c>
      <c r="S55" s="6" t="s">
        <v>722</v>
      </c>
      <c r="T55" s="6" t="s">
        <v>723</v>
      </c>
      <c r="U55" s="6" t="s">
        <v>89</v>
      </c>
      <c r="V55" s="6" t="s">
        <v>724</v>
      </c>
      <c r="W55" s="6" t="s">
        <v>725</v>
      </c>
      <c r="X55" s="6" t="s">
        <v>726</v>
      </c>
      <c r="Y55" s="6" t="s">
        <v>727</v>
      </c>
      <c r="Z55" s="6" t="s">
        <v>79</v>
      </c>
      <c r="AA55" s="6" t="s">
        <v>80</v>
      </c>
    </row>
    <row r="56" customFormat="false" ht="53.7" hidden="false" customHeight="false" outlineLevel="0" collapsed="false">
      <c r="A56" s="6" t="s">
        <v>728</v>
      </c>
      <c r="B56" s="6" t="s">
        <v>729</v>
      </c>
      <c r="C56" s="6" t="s">
        <v>730</v>
      </c>
      <c r="D56" s="6" t="s">
        <v>731</v>
      </c>
      <c r="E56" s="6" t="s">
        <v>21</v>
      </c>
      <c r="F56" s="6" t="s">
        <v>147</v>
      </c>
      <c r="G56" s="6" t="s">
        <v>122</v>
      </c>
      <c r="H56" s="6" t="s">
        <v>568</v>
      </c>
      <c r="I56" s="6" t="s">
        <v>732</v>
      </c>
      <c r="J56" s="6" t="s">
        <v>733</v>
      </c>
      <c r="K56" s="7" t="n">
        <v>45777</v>
      </c>
      <c r="L56" s="6" t="s">
        <v>68</v>
      </c>
      <c r="M56" s="7"/>
      <c r="N56" s="8" t="n">
        <f aca="false">IF(M56&lt;&gt;"",M56-Summary!$C$3,IF(K56="","",K56-Summary!$C$3))</f>
        <v>-528</v>
      </c>
      <c r="O56" s="6" t="s">
        <v>4</v>
      </c>
      <c r="P56" s="6" t="s">
        <v>734</v>
      </c>
      <c r="Q56" s="6" t="s">
        <v>735</v>
      </c>
      <c r="R56" s="6" t="s">
        <v>736</v>
      </c>
      <c r="S56" s="6" t="s">
        <v>737</v>
      </c>
      <c r="T56" s="6" t="s">
        <v>738</v>
      </c>
      <c r="U56" s="6" t="s">
        <v>89</v>
      </c>
      <c r="V56" s="6" t="s">
        <v>739</v>
      </c>
      <c r="W56" s="6" t="s">
        <v>740</v>
      </c>
      <c r="X56" s="6" t="s">
        <v>741</v>
      </c>
      <c r="Y56" s="6" t="s">
        <v>742</v>
      </c>
      <c r="Z56" s="6" t="s">
        <v>128</v>
      </c>
      <c r="AA56" s="6" t="s">
        <v>194</v>
      </c>
    </row>
    <row r="57" customFormat="false" ht="43.25" hidden="false" customHeight="false" outlineLevel="0" collapsed="false">
      <c r="A57" s="6" t="s">
        <v>743</v>
      </c>
      <c r="B57" s="6" t="s">
        <v>744</v>
      </c>
      <c r="C57" s="6" t="s">
        <v>745</v>
      </c>
      <c r="D57" s="6" t="s">
        <v>746</v>
      </c>
      <c r="E57" s="6" t="s">
        <v>21</v>
      </c>
      <c r="F57" s="6" t="s">
        <v>162</v>
      </c>
      <c r="G57" s="6" t="s">
        <v>747</v>
      </c>
      <c r="H57" s="6" t="s">
        <v>344</v>
      </c>
      <c r="I57" s="6" t="s">
        <v>748</v>
      </c>
      <c r="J57" s="6" t="s">
        <v>749</v>
      </c>
      <c r="K57" s="7" t="n">
        <v>44238</v>
      </c>
      <c r="L57" s="6" t="s">
        <v>68</v>
      </c>
      <c r="M57" s="7" t="n">
        <v>46429</v>
      </c>
      <c r="N57" s="8" t="n">
        <f aca="false">IF(M57&lt;&gt;"",M57-Summary!$C$3,IF(K57="","",K57-Summary!$C$3))</f>
        <v>124</v>
      </c>
      <c r="O57" s="6" t="s">
        <v>4</v>
      </c>
      <c r="P57" s="6" t="s">
        <v>69</v>
      </c>
      <c r="Q57" s="6" t="s">
        <v>750</v>
      </c>
      <c r="R57" s="6" t="s">
        <v>751</v>
      </c>
      <c r="S57" s="6" t="s">
        <v>752</v>
      </c>
      <c r="T57" s="6" t="s">
        <v>89</v>
      </c>
      <c r="U57" s="6" t="s">
        <v>89</v>
      </c>
      <c r="V57" s="6" t="s">
        <v>753</v>
      </c>
      <c r="W57" s="6" t="s">
        <v>754</v>
      </c>
      <c r="X57" s="6" t="s">
        <v>755</v>
      </c>
      <c r="Y57" s="6" t="s">
        <v>756</v>
      </c>
      <c r="Z57" s="6" t="s">
        <v>128</v>
      </c>
      <c r="AA57" s="6" t="s">
        <v>194</v>
      </c>
    </row>
    <row r="58" customFormat="false" ht="53.7" hidden="false" customHeight="false" outlineLevel="0" collapsed="false">
      <c r="A58" s="6" t="s">
        <v>757</v>
      </c>
      <c r="B58" s="6" t="s">
        <v>758</v>
      </c>
      <c r="C58" s="6" t="s">
        <v>759</v>
      </c>
      <c r="D58" s="6" t="s">
        <v>760</v>
      </c>
      <c r="E58" s="6" t="s">
        <v>21</v>
      </c>
      <c r="F58" s="6" t="s">
        <v>494</v>
      </c>
      <c r="G58" s="6" t="s">
        <v>122</v>
      </c>
      <c r="H58" s="6" t="s">
        <v>65</v>
      </c>
      <c r="I58" s="6" t="s">
        <v>761</v>
      </c>
      <c r="J58" s="6" t="s">
        <v>762</v>
      </c>
      <c r="K58" s="7" t="n">
        <v>45720</v>
      </c>
      <c r="L58" s="6" t="s">
        <v>68</v>
      </c>
      <c r="M58" s="7"/>
      <c r="N58" s="8" t="n">
        <f aca="false">IF(M58&lt;&gt;"",M58-Summary!$C$3,IF(K58="","",K58-Summary!$C$3))</f>
        <v>-585</v>
      </c>
      <c r="O58" s="6" t="s">
        <v>4</v>
      </c>
      <c r="P58" s="6" t="s">
        <v>763</v>
      </c>
      <c r="Q58" s="6" t="s">
        <v>764</v>
      </c>
      <c r="R58" s="6" t="s">
        <v>765</v>
      </c>
      <c r="S58" s="6" t="s">
        <v>766</v>
      </c>
      <c r="T58" s="6" t="s">
        <v>89</v>
      </c>
      <c r="U58" s="6" t="s">
        <v>89</v>
      </c>
      <c r="V58" s="6" t="s">
        <v>89</v>
      </c>
      <c r="W58" s="6" t="s">
        <v>767</v>
      </c>
      <c r="X58" s="6" t="s">
        <v>768</v>
      </c>
      <c r="Y58" s="6" t="s">
        <v>769</v>
      </c>
      <c r="Z58" s="6" t="s">
        <v>128</v>
      </c>
      <c r="AA58" s="6" t="s">
        <v>80</v>
      </c>
    </row>
    <row r="59" customFormat="false" ht="53.7" hidden="false" customHeight="false" outlineLevel="0" collapsed="false">
      <c r="A59" s="6" t="s">
        <v>770</v>
      </c>
      <c r="B59" s="6" t="s">
        <v>771</v>
      </c>
      <c r="C59" s="6" t="s">
        <v>770</v>
      </c>
      <c r="D59" s="6" t="s">
        <v>772</v>
      </c>
      <c r="E59" s="6" t="s">
        <v>21</v>
      </c>
      <c r="F59" s="6" t="s">
        <v>773</v>
      </c>
      <c r="G59" s="6" t="s">
        <v>122</v>
      </c>
      <c r="H59" s="6" t="s">
        <v>65</v>
      </c>
      <c r="I59" s="6" t="s">
        <v>774</v>
      </c>
      <c r="J59" s="6" t="s">
        <v>775</v>
      </c>
      <c r="K59" s="7" t="n">
        <v>46081</v>
      </c>
      <c r="L59" s="6" t="s">
        <v>68</v>
      </c>
      <c r="M59" s="7" t="n">
        <v>46446</v>
      </c>
      <c r="N59" s="8" t="n">
        <f aca="false">IF(M59&lt;&gt;"",M59-Summary!$C$3,IF(K59="","",K59-Summary!$C$3))</f>
        <v>141</v>
      </c>
      <c r="O59" s="6" t="s">
        <v>4</v>
      </c>
      <c r="P59" s="6" t="s">
        <v>776</v>
      </c>
      <c r="Q59" s="6" t="s">
        <v>777</v>
      </c>
      <c r="R59" s="6" t="s">
        <v>778</v>
      </c>
      <c r="S59" s="6" t="s">
        <v>779</v>
      </c>
      <c r="T59" s="6" t="s">
        <v>89</v>
      </c>
      <c r="U59" s="6" t="s">
        <v>89</v>
      </c>
      <c r="V59" s="6" t="s">
        <v>780</v>
      </c>
      <c r="W59" s="6" t="s">
        <v>781</v>
      </c>
      <c r="X59" s="6" t="s">
        <v>782</v>
      </c>
      <c r="Y59" s="6" t="s">
        <v>783</v>
      </c>
      <c r="Z59" s="6" t="s">
        <v>79</v>
      </c>
      <c r="AA59" s="6" t="s">
        <v>80</v>
      </c>
    </row>
    <row r="60" customFormat="false" ht="53.7" hidden="false" customHeight="false" outlineLevel="0" collapsed="false">
      <c r="A60" s="6" t="s">
        <v>770</v>
      </c>
      <c r="B60" s="6" t="s">
        <v>784</v>
      </c>
      <c r="C60" s="6" t="s">
        <v>770</v>
      </c>
      <c r="D60" s="6" t="s">
        <v>785</v>
      </c>
      <c r="E60" s="6" t="s">
        <v>21</v>
      </c>
      <c r="F60" s="6" t="s">
        <v>786</v>
      </c>
      <c r="G60" s="6" t="s">
        <v>122</v>
      </c>
      <c r="H60" s="6" t="s">
        <v>65</v>
      </c>
      <c r="I60" s="6" t="s">
        <v>774</v>
      </c>
      <c r="J60" s="6" t="s">
        <v>787</v>
      </c>
      <c r="K60" s="7" t="n">
        <v>46081</v>
      </c>
      <c r="L60" s="6" t="s">
        <v>68</v>
      </c>
      <c r="M60" s="7" t="n">
        <v>46446</v>
      </c>
      <c r="N60" s="8" t="n">
        <f aca="false">IF(M60&lt;&gt;"",M60-Summary!$C$3,IF(K60="","",K60-Summary!$C$3))</f>
        <v>141</v>
      </c>
      <c r="O60" s="6" t="s">
        <v>4</v>
      </c>
      <c r="P60" s="6" t="s">
        <v>776</v>
      </c>
      <c r="Q60" s="6" t="s">
        <v>788</v>
      </c>
      <c r="R60" s="6" t="s">
        <v>789</v>
      </c>
      <c r="S60" s="6" t="s">
        <v>790</v>
      </c>
      <c r="T60" s="6" t="s">
        <v>89</v>
      </c>
      <c r="U60" s="6" t="s">
        <v>791</v>
      </c>
      <c r="V60" s="6" t="s">
        <v>792</v>
      </c>
      <c r="W60" s="6" t="s">
        <v>793</v>
      </c>
      <c r="X60" s="6" t="s">
        <v>794</v>
      </c>
      <c r="Y60" s="6" t="s">
        <v>795</v>
      </c>
      <c r="Z60" s="6" t="s">
        <v>128</v>
      </c>
      <c r="AA60" s="6" t="s">
        <v>80</v>
      </c>
    </row>
    <row r="61" customFormat="false" ht="43.25" hidden="false" customHeight="false" outlineLevel="0" collapsed="false">
      <c r="A61" s="6" t="s">
        <v>770</v>
      </c>
      <c r="B61" s="6" t="s">
        <v>796</v>
      </c>
      <c r="C61" s="6" t="s">
        <v>770</v>
      </c>
      <c r="D61" s="6" t="s">
        <v>797</v>
      </c>
      <c r="E61" s="6" t="s">
        <v>17</v>
      </c>
      <c r="F61" s="6" t="s">
        <v>63</v>
      </c>
      <c r="G61" s="6" t="s">
        <v>798</v>
      </c>
      <c r="H61" s="6" t="s">
        <v>65</v>
      </c>
      <c r="I61" s="6" t="s">
        <v>799</v>
      </c>
      <c r="J61" s="6" t="s">
        <v>800</v>
      </c>
      <c r="K61" s="7" t="n">
        <v>46446</v>
      </c>
      <c r="L61" s="6" t="s">
        <v>68</v>
      </c>
      <c r="M61" s="7"/>
      <c r="N61" s="8" t="n">
        <f aca="false">IF(M61&lt;&gt;"",M61-Summary!$C$3,IF(K61="","",K61-Summary!$C$3))</f>
        <v>141</v>
      </c>
      <c r="O61" s="6" t="s">
        <v>4</v>
      </c>
      <c r="P61" s="6" t="s">
        <v>801</v>
      </c>
      <c r="Q61" s="6" t="s">
        <v>802</v>
      </c>
      <c r="R61" s="6" t="s">
        <v>803</v>
      </c>
      <c r="S61" s="6" t="s">
        <v>804</v>
      </c>
      <c r="T61" s="6" t="s">
        <v>89</v>
      </c>
      <c r="U61" s="6" t="s">
        <v>89</v>
      </c>
      <c r="V61" s="6" t="s">
        <v>89</v>
      </c>
      <c r="W61" s="6" t="s">
        <v>89</v>
      </c>
      <c r="X61" s="6" t="s">
        <v>89</v>
      </c>
      <c r="Y61" s="6" t="s">
        <v>805</v>
      </c>
      <c r="Z61" s="6" t="s">
        <v>79</v>
      </c>
      <c r="AA61" s="6" t="s">
        <v>80</v>
      </c>
    </row>
    <row r="62" customFormat="false" ht="43.25" hidden="false" customHeight="false" outlineLevel="0" collapsed="false">
      <c r="A62" s="6" t="s">
        <v>770</v>
      </c>
      <c r="B62" s="6" t="s">
        <v>806</v>
      </c>
      <c r="C62" s="6" t="s">
        <v>770</v>
      </c>
      <c r="D62" s="6" t="s">
        <v>807</v>
      </c>
      <c r="E62" s="6" t="s">
        <v>26</v>
      </c>
      <c r="F62" s="6" t="s">
        <v>808</v>
      </c>
      <c r="G62" s="6" t="s">
        <v>122</v>
      </c>
      <c r="H62" s="6" t="s">
        <v>65</v>
      </c>
      <c r="I62" s="6" t="s">
        <v>809</v>
      </c>
      <c r="J62" s="6" t="s">
        <v>637</v>
      </c>
      <c r="K62" s="7" t="n">
        <v>46568</v>
      </c>
      <c r="L62" s="6" t="s">
        <v>68</v>
      </c>
      <c r="M62" s="7"/>
      <c r="N62" s="8" t="n">
        <f aca="false">IF(M62&lt;&gt;"",M62-Summary!$C$3,IF(K62="","",K62-Summary!$C$3))</f>
        <v>263</v>
      </c>
      <c r="O62" s="6" t="s">
        <v>4</v>
      </c>
      <c r="P62" s="6" t="s">
        <v>810</v>
      </c>
      <c r="Q62" s="6" t="s">
        <v>811</v>
      </c>
      <c r="R62" s="6" t="s">
        <v>812</v>
      </c>
      <c r="S62" s="6" t="s">
        <v>813</v>
      </c>
      <c r="T62" s="6" t="s">
        <v>89</v>
      </c>
      <c r="U62" s="6" t="s">
        <v>89</v>
      </c>
      <c r="V62" s="6" t="s">
        <v>89</v>
      </c>
      <c r="W62" s="6" t="s">
        <v>814</v>
      </c>
      <c r="X62" s="6" t="s">
        <v>815</v>
      </c>
      <c r="Y62" s="6" t="s">
        <v>816</v>
      </c>
      <c r="Z62" s="6" t="s">
        <v>79</v>
      </c>
      <c r="AA62" s="6" t="s">
        <v>80</v>
      </c>
    </row>
    <row r="63" customFormat="false" ht="53.7" hidden="false" customHeight="false" outlineLevel="0" collapsed="false">
      <c r="A63" s="6" t="s">
        <v>817</v>
      </c>
      <c r="B63" s="6" t="s">
        <v>818</v>
      </c>
      <c r="C63" s="6" t="s">
        <v>819</v>
      </c>
      <c r="D63" s="6" t="s">
        <v>820</v>
      </c>
      <c r="E63" s="6" t="s">
        <v>21</v>
      </c>
      <c r="F63" s="6" t="s">
        <v>224</v>
      </c>
      <c r="G63" s="6" t="s">
        <v>122</v>
      </c>
      <c r="H63" s="6" t="s">
        <v>344</v>
      </c>
      <c r="I63" s="6" t="s">
        <v>821</v>
      </c>
      <c r="J63" s="6" t="s">
        <v>822</v>
      </c>
      <c r="K63" s="7" t="n">
        <v>46521</v>
      </c>
      <c r="L63" s="6" t="s">
        <v>68</v>
      </c>
      <c r="M63" s="7"/>
      <c r="N63" s="8" t="n">
        <f aca="false">IF(M63&lt;&gt;"",M63-Summary!$C$3,IF(K63="","",K63-Summary!$C$3))</f>
        <v>216</v>
      </c>
      <c r="O63" s="6" t="s">
        <v>4</v>
      </c>
      <c r="P63" s="6" t="s">
        <v>186</v>
      </c>
      <c r="Q63" s="6" t="s">
        <v>823</v>
      </c>
      <c r="R63" s="6" t="s">
        <v>824</v>
      </c>
      <c r="S63" s="6" t="s">
        <v>825</v>
      </c>
      <c r="T63" s="6" t="s">
        <v>89</v>
      </c>
      <c r="U63" s="6" t="s">
        <v>89</v>
      </c>
      <c r="V63" s="6" t="s">
        <v>826</v>
      </c>
      <c r="W63" s="6" t="s">
        <v>827</v>
      </c>
      <c r="X63" s="6" t="s">
        <v>828</v>
      </c>
      <c r="Y63" s="6" t="s">
        <v>829</v>
      </c>
      <c r="Z63" s="6" t="s">
        <v>128</v>
      </c>
      <c r="AA63" s="6" t="s">
        <v>194</v>
      </c>
    </row>
    <row r="64" customFormat="false" ht="53.7" hidden="false" customHeight="false" outlineLevel="0" collapsed="false">
      <c r="A64" s="6" t="s">
        <v>830</v>
      </c>
      <c r="B64" s="6" t="s">
        <v>831</v>
      </c>
      <c r="C64" s="6" t="s">
        <v>832</v>
      </c>
      <c r="D64" s="6" t="s">
        <v>833</v>
      </c>
      <c r="E64" s="6" t="s">
        <v>17</v>
      </c>
      <c r="F64" s="6" t="s">
        <v>834</v>
      </c>
      <c r="G64" s="6" t="s">
        <v>122</v>
      </c>
      <c r="H64" s="6" t="s">
        <v>65</v>
      </c>
      <c r="I64" s="6" t="s">
        <v>835</v>
      </c>
      <c r="J64" s="6" t="s">
        <v>836</v>
      </c>
      <c r="K64" s="7"/>
      <c r="L64" s="6" t="s">
        <v>88</v>
      </c>
      <c r="M64" s="7"/>
      <c r="N64" s="8" t="str">
        <f aca="false">IF(M64&lt;&gt;"",M64-Summary!$C$3,IF(K64="","",K64-Summary!$C$3))</f>
        <v/>
      </c>
      <c r="O64" s="6" t="s">
        <v>4</v>
      </c>
      <c r="P64" s="6" t="s">
        <v>89</v>
      </c>
      <c r="Q64" s="6" t="s">
        <v>89</v>
      </c>
      <c r="R64" s="6" t="s">
        <v>837</v>
      </c>
      <c r="S64" s="6" t="s">
        <v>838</v>
      </c>
      <c r="T64" s="6" t="s">
        <v>89</v>
      </c>
      <c r="U64" s="6" t="s">
        <v>89</v>
      </c>
      <c r="V64" s="6" t="s">
        <v>89</v>
      </c>
      <c r="W64" s="6" t="s">
        <v>89</v>
      </c>
      <c r="X64" s="6" t="s">
        <v>89</v>
      </c>
      <c r="Y64" s="6" t="s">
        <v>839</v>
      </c>
      <c r="Z64" s="6" t="s">
        <v>128</v>
      </c>
      <c r="AA64" s="6" t="s">
        <v>80</v>
      </c>
    </row>
    <row r="65" customFormat="false" ht="53.7" hidden="false" customHeight="false" outlineLevel="0" collapsed="false">
      <c r="A65" s="6" t="s">
        <v>830</v>
      </c>
      <c r="B65" s="6" t="s">
        <v>831</v>
      </c>
      <c r="C65" s="6" t="s">
        <v>832</v>
      </c>
      <c r="D65" s="6" t="s">
        <v>840</v>
      </c>
      <c r="E65" s="6" t="s">
        <v>26</v>
      </c>
      <c r="F65" s="6" t="s">
        <v>834</v>
      </c>
      <c r="G65" s="6" t="s">
        <v>122</v>
      </c>
      <c r="H65" s="6" t="s">
        <v>65</v>
      </c>
      <c r="I65" s="6" t="s">
        <v>841</v>
      </c>
      <c r="J65" s="6" t="s">
        <v>842</v>
      </c>
      <c r="K65" s="7" t="n">
        <v>46938</v>
      </c>
      <c r="L65" s="6" t="s">
        <v>68</v>
      </c>
      <c r="M65" s="7"/>
      <c r="N65" s="8" t="n">
        <f aca="false">IF(M65&lt;&gt;"",M65-Summary!$C$3,IF(K65="","",K65-Summary!$C$3))</f>
        <v>633</v>
      </c>
      <c r="O65" s="6" t="s">
        <v>4</v>
      </c>
      <c r="P65" s="6" t="s">
        <v>150</v>
      </c>
      <c r="Q65" s="6" t="s">
        <v>134</v>
      </c>
      <c r="R65" s="6" t="s">
        <v>843</v>
      </c>
      <c r="S65" s="6" t="s">
        <v>844</v>
      </c>
      <c r="T65" s="6" t="s">
        <v>89</v>
      </c>
      <c r="U65" s="6" t="s">
        <v>89</v>
      </c>
      <c r="V65" s="6" t="s">
        <v>845</v>
      </c>
      <c r="W65" s="6" t="s">
        <v>846</v>
      </c>
      <c r="X65" s="6" t="s">
        <v>847</v>
      </c>
      <c r="Y65" s="6" t="s">
        <v>848</v>
      </c>
      <c r="Z65" s="6" t="s">
        <v>128</v>
      </c>
      <c r="AA65" s="6" t="s">
        <v>80</v>
      </c>
    </row>
    <row r="66" customFormat="false" ht="64.15" hidden="false" customHeight="false" outlineLevel="0" collapsed="false">
      <c r="A66" s="6" t="s">
        <v>849</v>
      </c>
      <c r="B66" s="6" t="s">
        <v>850</v>
      </c>
      <c r="C66" s="6" t="s">
        <v>851</v>
      </c>
      <c r="D66" s="6" t="s">
        <v>852</v>
      </c>
      <c r="E66" s="6" t="s">
        <v>21</v>
      </c>
      <c r="F66" s="6" t="s">
        <v>289</v>
      </c>
      <c r="G66" s="6" t="s">
        <v>853</v>
      </c>
      <c r="H66" s="6" t="s">
        <v>65</v>
      </c>
      <c r="I66" s="6" t="s">
        <v>854</v>
      </c>
      <c r="J66" s="6" t="s">
        <v>855</v>
      </c>
      <c r="K66" s="7" t="n">
        <v>46873</v>
      </c>
      <c r="L66" s="6" t="s">
        <v>68</v>
      </c>
      <c r="M66" s="7"/>
      <c r="N66" s="8" t="n">
        <f aca="false">IF(M66&lt;&gt;"",M66-Summary!$C$3,IF(K66="","",K66-Summary!$C$3))</f>
        <v>568</v>
      </c>
      <c r="O66" s="6" t="s">
        <v>4</v>
      </c>
      <c r="P66" s="6" t="s">
        <v>69</v>
      </c>
      <c r="Q66" s="6" t="s">
        <v>720</v>
      </c>
      <c r="R66" s="6" t="s">
        <v>856</v>
      </c>
      <c r="S66" s="6" t="s">
        <v>857</v>
      </c>
      <c r="T66" s="6" t="s">
        <v>858</v>
      </c>
      <c r="U66" s="6" t="s">
        <v>859</v>
      </c>
      <c r="V66" s="6" t="s">
        <v>860</v>
      </c>
      <c r="W66" s="6" t="s">
        <v>861</v>
      </c>
      <c r="X66" s="6" t="s">
        <v>862</v>
      </c>
      <c r="Y66" s="6" t="s">
        <v>863</v>
      </c>
      <c r="Z66" s="6" t="s">
        <v>79</v>
      </c>
      <c r="AA66" s="6" t="s">
        <v>80</v>
      </c>
    </row>
    <row r="67" customFormat="false" ht="43.25" hidden="false" customHeight="false" outlineLevel="0" collapsed="false">
      <c r="A67" s="6" t="s">
        <v>864</v>
      </c>
      <c r="B67" s="6" t="s">
        <v>864</v>
      </c>
      <c r="C67" s="6" t="s">
        <v>865</v>
      </c>
      <c r="D67" s="6" t="s">
        <v>866</v>
      </c>
      <c r="E67" s="6" t="s">
        <v>21</v>
      </c>
      <c r="F67" s="6" t="s">
        <v>63</v>
      </c>
      <c r="G67" s="6" t="s">
        <v>122</v>
      </c>
      <c r="H67" s="6" t="s">
        <v>65</v>
      </c>
      <c r="I67" s="6" t="s">
        <v>867</v>
      </c>
      <c r="J67" s="6" t="s">
        <v>868</v>
      </c>
      <c r="K67" s="7" t="n">
        <v>47036</v>
      </c>
      <c r="L67" s="6" t="s">
        <v>68</v>
      </c>
      <c r="M67" s="7"/>
      <c r="N67" s="8" t="n">
        <f aca="false">IF(M67&lt;&gt;"",M67-Summary!$C$3,IF(K67="","",K67-Summary!$C$3))</f>
        <v>731</v>
      </c>
      <c r="O67" s="6" t="s">
        <v>4</v>
      </c>
      <c r="P67" s="6" t="s">
        <v>869</v>
      </c>
      <c r="Q67" s="6" t="s">
        <v>134</v>
      </c>
      <c r="R67" s="6" t="s">
        <v>267</v>
      </c>
      <c r="S67" s="6" t="s">
        <v>870</v>
      </c>
      <c r="T67" s="6" t="s">
        <v>871</v>
      </c>
      <c r="U67" s="6" t="s">
        <v>872</v>
      </c>
      <c r="V67" s="6" t="s">
        <v>873</v>
      </c>
      <c r="W67" s="6" t="s">
        <v>874</v>
      </c>
      <c r="X67" s="6" t="s">
        <v>875</v>
      </c>
      <c r="Y67" s="6" t="s">
        <v>876</v>
      </c>
      <c r="Z67" s="6" t="s">
        <v>79</v>
      </c>
      <c r="AA67" s="6" t="s">
        <v>80</v>
      </c>
    </row>
    <row r="68" customFormat="false" ht="53.7" hidden="false" customHeight="false" outlineLevel="0" collapsed="false">
      <c r="A68" s="6" t="s">
        <v>877</v>
      </c>
      <c r="B68" s="6" t="s">
        <v>320</v>
      </c>
      <c r="C68" s="6" t="s">
        <v>321</v>
      </c>
      <c r="D68" s="6" t="s">
        <v>878</v>
      </c>
      <c r="E68" s="6" t="s">
        <v>21</v>
      </c>
      <c r="F68" s="6" t="s">
        <v>93</v>
      </c>
      <c r="G68" s="6" t="s">
        <v>879</v>
      </c>
      <c r="H68" s="6" t="s">
        <v>65</v>
      </c>
      <c r="I68" s="6" t="s">
        <v>880</v>
      </c>
      <c r="J68" s="6" t="s">
        <v>881</v>
      </c>
      <c r="K68" s="7" t="n">
        <v>46053</v>
      </c>
      <c r="L68" s="6" t="s">
        <v>68</v>
      </c>
      <c r="M68" s="7" t="n">
        <v>46418</v>
      </c>
      <c r="N68" s="8" t="n">
        <f aca="false">IF(M68&lt;&gt;"",M68-Summary!$C$3,IF(K68="","",K68-Summary!$C$3))</f>
        <v>113</v>
      </c>
      <c r="O68" s="6" t="s">
        <v>4</v>
      </c>
      <c r="P68" s="6" t="s">
        <v>69</v>
      </c>
      <c r="Q68" s="6" t="s">
        <v>134</v>
      </c>
      <c r="R68" s="6" t="s">
        <v>882</v>
      </c>
      <c r="S68" s="6" t="s">
        <v>883</v>
      </c>
      <c r="T68" s="6" t="s">
        <v>89</v>
      </c>
      <c r="U68" s="6" t="s">
        <v>884</v>
      </c>
      <c r="V68" s="6" t="s">
        <v>885</v>
      </c>
      <c r="W68" s="6" t="s">
        <v>886</v>
      </c>
      <c r="X68" s="6" t="s">
        <v>887</v>
      </c>
      <c r="Y68" s="6" t="s">
        <v>888</v>
      </c>
      <c r="Z68" s="6" t="s">
        <v>128</v>
      </c>
      <c r="AA68" s="6" t="s">
        <v>194</v>
      </c>
    </row>
    <row r="69" customFormat="false" ht="53.7" hidden="false" customHeight="false" outlineLevel="0" collapsed="false">
      <c r="A69" s="6" t="s">
        <v>889</v>
      </c>
      <c r="B69" s="6" t="s">
        <v>890</v>
      </c>
      <c r="C69" s="6" t="s">
        <v>891</v>
      </c>
      <c r="D69" s="6" t="s">
        <v>892</v>
      </c>
      <c r="E69" s="6" t="s">
        <v>21</v>
      </c>
      <c r="F69" s="6" t="s">
        <v>224</v>
      </c>
      <c r="G69" s="6" t="s">
        <v>893</v>
      </c>
      <c r="H69" s="6" t="s">
        <v>65</v>
      </c>
      <c r="I69" s="6" t="s">
        <v>683</v>
      </c>
      <c r="J69" s="6" t="s">
        <v>894</v>
      </c>
      <c r="K69" s="7" t="n">
        <v>47695</v>
      </c>
      <c r="L69" s="6" t="s">
        <v>68</v>
      </c>
      <c r="M69" s="7"/>
      <c r="N69" s="8" t="n">
        <f aca="false">IF(M69&lt;&gt;"",M69-Summary!$C$3,IF(K69="","",K69-Summary!$C$3))</f>
        <v>1390</v>
      </c>
      <c r="O69" s="6" t="s">
        <v>4</v>
      </c>
      <c r="P69" s="6" t="s">
        <v>150</v>
      </c>
      <c r="Q69" s="6" t="s">
        <v>110</v>
      </c>
      <c r="R69" s="6" t="s">
        <v>895</v>
      </c>
      <c r="S69" s="6" t="s">
        <v>896</v>
      </c>
      <c r="T69" s="6" t="s">
        <v>897</v>
      </c>
      <c r="U69" s="6" t="s">
        <v>898</v>
      </c>
      <c r="V69" s="6" t="s">
        <v>899</v>
      </c>
      <c r="W69" s="6" t="s">
        <v>900</v>
      </c>
      <c r="X69" s="6" t="s">
        <v>901</v>
      </c>
      <c r="Y69" s="6" t="s">
        <v>902</v>
      </c>
      <c r="Z69" s="6" t="s">
        <v>79</v>
      </c>
      <c r="AA69" s="6" t="s">
        <v>80</v>
      </c>
    </row>
    <row r="70" customFormat="false" ht="32.8" hidden="false" customHeight="false" outlineLevel="0" collapsed="false">
      <c r="A70" s="6" t="s">
        <v>903</v>
      </c>
      <c r="B70" s="6" t="s">
        <v>904</v>
      </c>
      <c r="C70" s="6" t="s">
        <v>903</v>
      </c>
      <c r="D70" s="6" t="s">
        <v>905</v>
      </c>
      <c r="E70" s="6" t="s">
        <v>21</v>
      </c>
      <c r="F70" s="6" t="s">
        <v>224</v>
      </c>
      <c r="G70" s="6" t="s">
        <v>122</v>
      </c>
      <c r="H70" s="6" t="s">
        <v>344</v>
      </c>
      <c r="I70" s="6" t="s">
        <v>906</v>
      </c>
      <c r="J70" s="6" t="s">
        <v>907</v>
      </c>
      <c r="K70" s="7" t="n">
        <v>44088</v>
      </c>
      <c r="L70" s="6" t="s">
        <v>68</v>
      </c>
      <c r="M70" s="7" t="n">
        <v>46644</v>
      </c>
      <c r="N70" s="8" t="n">
        <f aca="false">IF(M70&lt;&gt;"",M70-Summary!$C$3,IF(K70="","",K70-Summary!$C$3))</f>
        <v>339</v>
      </c>
      <c r="O70" s="6" t="s">
        <v>4</v>
      </c>
      <c r="P70" s="6" t="s">
        <v>69</v>
      </c>
      <c r="Q70" s="6" t="s">
        <v>908</v>
      </c>
      <c r="R70" s="6" t="s">
        <v>909</v>
      </c>
      <c r="S70" s="6" t="s">
        <v>910</v>
      </c>
      <c r="T70" s="6" t="s">
        <v>89</v>
      </c>
      <c r="U70" s="6" t="s">
        <v>89</v>
      </c>
      <c r="V70" s="6" t="s">
        <v>911</v>
      </c>
      <c r="W70" s="6" t="s">
        <v>912</v>
      </c>
      <c r="X70" s="6" t="s">
        <v>913</v>
      </c>
      <c r="Y70" s="6" t="s">
        <v>914</v>
      </c>
      <c r="Z70" s="6" t="s">
        <v>128</v>
      </c>
      <c r="AA70" s="6" t="s">
        <v>194</v>
      </c>
    </row>
    <row r="71" customFormat="false" ht="53.7" hidden="false" customHeight="false" outlineLevel="0" collapsed="false">
      <c r="A71" s="6" t="s">
        <v>915</v>
      </c>
      <c r="B71" s="6" t="s">
        <v>916</v>
      </c>
      <c r="C71" s="6" t="s">
        <v>917</v>
      </c>
      <c r="D71" s="6" t="s">
        <v>918</v>
      </c>
      <c r="E71" s="6" t="s">
        <v>21</v>
      </c>
      <c r="F71" s="6" t="s">
        <v>147</v>
      </c>
      <c r="G71" s="6" t="s">
        <v>122</v>
      </c>
      <c r="H71" s="6" t="s">
        <v>65</v>
      </c>
      <c r="I71" s="6" t="s">
        <v>683</v>
      </c>
      <c r="J71" s="6" t="s">
        <v>919</v>
      </c>
      <c r="K71" s="7" t="n">
        <v>46965</v>
      </c>
      <c r="L71" s="6" t="s">
        <v>68</v>
      </c>
      <c r="M71" s="7"/>
      <c r="N71" s="8" t="n">
        <f aca="false">IF(M71&lt;&gt;"",M71-Summary!$C$3,IF(K71="","",K71-Summary!$C$3))</f>
        <v>660</v>
      </c>
      <c r="O71" s="6" t="s">
        <v>4</v>
      </c>
      <c r="P71" s="6" t="s">
        <v>69</v>
      </c>
      <c r="Q71" s="6" t="s">
        <v>89</v>
      </c>
      <c r="R71" s="6" t="s">
        <v>920</v>
      </c>
      <c r="S71" s="6" t="s">
        <v>921</v>
      </c>
      <c r="T71" s="6" t="s">
        <v>89</v>
      </c>
      <c r="U71" s="6" t="s">
        <v>89</v>
      </c>
      <c r="V71" s="6" t="s">
        <v>922</v>
      </c>
      <c r="W71" s="6" t="s">
        <v>923</v>
      </c>
      <c r="X71" s="6" t="s">
        <v>924</v>
      </c>
      <c r="Y71" s="6" t="s">
        <v>925</v>
      </c>
      <c r="Z71" s="6" t="s">
        <v>79</v>
      </c>
      <c r="AA71" s="6" t="s">
        <v>80</v>
      </c>
    </row>
    <row r="72" customFormat="false" ht="53.7" hidden="false" customHeight="false" outlineLevel="0" collapsed="false">
      <c r="A72" s="6" t="s">
        <v>926</v>
      </c>
      <c r="B72" s="6" t="s">
        <v>927</v>
      </c>
      <c r="C72" s="6" t="s">
        <v>928</v>
      </c>
      <c r="D72" s="6" t="s">
        <v>929</v>
      </c>
      <c r="E72" s="6" t="s">
        <v>21</v>
      </c>
      <c r="F72" s="6" t="s">
        <v>63</v>
      </c>
      <c r="G72" s="6" t="s">
        <v>122</v>
      </c>
      <c r="H72" s="6" t="s">
        <v>65</v>
      </c>
      <c r="I72" s="6" t="s">
        <v>930</v>
      </c>
      <c r="J72" s="6" t="s">
        <v>931</v>
      </c>
      <c r="K72" s="7" t="n">
        <v>46312</v>
      </c>
      <c r="L72" s="6" t="s">
        <v>68</v>
      </c>
      <c r="M72" s="7"/>
      <c r="N72" s="8" t="n">
        <f aca="false">IF(M72&lt;&gt;"",M72-Summary!$C$3,IF(K72="","",K72-Summary!$C$3))</f>
        <v>7</v>
      </c>
      <c r="O72" s="6" t="s">
        <v>4</v>
      </c>
      <c r="P72" s="6" t="s">
        <v>69</v>
      </c>
      <c r="Q72" s="6" t="s">
        <v>134</v>
      </c>
      <c r="R72" s="6" t="s">
        <v>932</v>
      </c>
      <c r="S72" s="6" t="s">
        <v>933</v>
      </c>
      <c r="T72" s="6" t="s">
        <v>934</v>
      </c>
      <c r="U72" s="6" t="s">
        <v>89</v>
      </c>
      <c r="V72" s="6" t="s">
        <v>935</v>
      </c>
      <c r="W72" s="6" t="s">
        <v>936</v>
      </c>
      <c r="X72" s="6" t="s">
        <v>937</v>
      </c>
      <c r="Y72" s="6" t="s">
        <v>938</v>
      </c>
      <c r="Z72" s="6" t="s">
        <v>79</v>
      </c>
      <c r="AA72" s="6" t="s">
        <v>194</v>
      </c>
    </row>
    <row r="73" customFormat="false" ht="53.7" hidden="false" customHeight="false" outlineLevel="0" collapsed="false">
      <c r="A73" s="6" t="s">
        <v>939</v>
      </c>
      <c r="B73" s="6" t="s">
        <v>940</v>
      </c>
      <c r="C73" s="6" t="s">
        <v>941</v>
      </c>
      <c r="D73" s="6" t="s">
        <v>942</v>
      </c>
      <c r="E73" s="6" t="s">
        <v>21</v>
      </c>
      <c r="F73" s="6" t="s">
        <v>147</v>
      </c>
      <c r="G73" s="6" t="s">
        <v>943</v>
      </c>
      <c r="H73" s="6" t="s">
        <v>413</v>
      </c>
      <c r="I73" s="6" t="s">
        <v>944</v>
      </c>
      <c r="J73" s="6" t="s">
        <v>945</v>
      </c>
      <c r="K73" s="7" t="n">
        <v>46857</v>
      </c>
      <c r="L73" s="6" t="s">
        <v>68</v>
      </c>
      <c r="M73" s="7"/>
      <c r="N73" s="8" t="n">
        <f aca="false">IF(M73&lt;&gt;"",M73-Summary!$C$3,IF(K73="","",K73-Summary!$C$3))</f>
        <v>552</v>
      </c>
      <c r="O73" s="6" t="s">
        <v>4</v>
      </c>
      <c r="P73" s="6" t="s">
        <v>69</v>
      </c>
      <c r="Q73" s="6" t="s">
        <v>110</v>
      </c>
      <c r="R73" s="6" t="s">
        <v>946</v>
      </c>
      <c r="S73" s="6" t="s">
        <v>947</v>
      </c>
      <c r="T73" s="6" t="s">
        <v>948</v>
      </c>
      <c r="U73" s="6" t="s">
        <v>949</v>
      </c>
      <c r="V73" s="6" t="s">
        <v>950</v>
      </c>
      <c r="W73" s="6" t="s">
        <v>951</v>
      </c>
      <c r="X73" s="6" t="s">
        <v>952</v>
      </c>
      <c r="Y73" s="6" t="s">
        <v>953</v>
      </c>
      <c r="Z73" s="6" t="s">
        <v>79</v>
      </c>
      <c r="AA73" s="6" t="s">
        <v>80</v>
      </c>
    </row>
    <row r="74" customFormat="false" ht="64.15" hidden="false" customHeight="false" outlineLevel="0" collapsed="false">
      <c r="A74" s="6" t="s">
        <v>954</v>
      </c>
      <c r="B74" s="6" t="s">
        <v>955</v>
      </c>
      <c r="C74" s="6" t="s">
        <v>956</v>
      </c>
      <c r="D74" s="6" t="s">
        <v>957</v>
      </c>
      <c r="E74" s="6" t="s">
        <v>23</v>
      </c>
      <c r="F74" s="6" t="s">
        <v>162</v>
      </c>
      <c r="G74" s="6" t="s">
        <v>958</v>
      </c>
      <c r="H74" s="6" t="s">
        <v>65</v>
      </c>
      <c r="I74" s="6" t="s">
        <v>959</v>
      </c>
      <c r="J74" s="6" t="s">
        <v>960</v>
      </c>
      <c r="K74" s="7" t="n">
        <v>47391</v>
      </c>
      <c r="L74" s="6" t="s">
        <v>68</v>
      </c>
      <c r="M74" s="7"/>
      <c r="N74" s="8" t="n">
        <f aca="false">IF(M74&lt;&gt;"",M74-Summary!$C$3,IF(K74="","",K74-Summary!$C$3))</f>
        <v>1086</v>
      </c>
      <c r="O74" s="6" t="s">
        <v>4</v>
      </c>
      <c r="P74" s="6" t="s">
        <v>961</v>
      </c>
      <c r="Q74" s="6" t="s">
        <v>110</v>
      </c>
      <c r="R74" s="6" t="s">
        <v>962</v>
      </c>
      <c r="S74" s="6" t="s">
        <v>963</v>
      </c>
      <c r="T74" s="6" t="s">
        <v>964</v>
      </c>
      <c r="U74" s="6" t="s">
        <v>965</v>
      </c>
      <c r="V74" s="6" t="s">
        <v>966</v>
      </c>
      <c r="W74" s="6" t="s">
        <v>967</v>
      </c>
      <c r="X74" s="6" t="s">
        <v>968</v>
      </c>
      <c r="Y74" s="6" t="s">
        <v>969</v>
      </c>
      <c r="Z74" s="6" t="s">
        <v>79</v>
      </c>
      <c r="AA74" s="6" t="s">
        <v>80</v>
      </c>
    </row>
    <row r="75" customFormat="false" ht="32.8" hidden="false" customHeight="false" outlineLevel="0" collapsed="false">
      <c r="A75" s="6" t="s">
        <v>970</v>
      </c>
      <c r="B75" s="6" t="s">
        <v>971</v>
      </c>
      <c r="C75" s="6" t="s">
        <v>972</v>
      </c>
      <c r="D75" s="6" t="s">
        <v>973</v>
      </c>
      <c r="E75" s="6" t="s">
        <v>21</v>
      </c>
      <c r="F75" s="6" t="s">
        <v>63</v>
      </c>
      <c r="G75" s="6" t="s">
        <v>974</v>
      </c>
      <c r="H75" s="6" t="s">
        <v>65</v>
      </c>
      <c r="I75" s="6" t="s">
        <v>975</v>
      </c>
      <c r="J75" s="6" t="s">
        <v>976</v>
      </c>
      <c r="K75" s="7" t="n">
        <v>46356</v>
      </c>
      <c r="L75" s="6" t="s">
        <v>68</v>
      </c>
      <c r="M75" s="7"/>
      <c r="N75" s="8" t="n">
        <f aca="false">IF(M75&lt;&gt;"",M75-Summary!$C$3,IF(K75="","",K75-Summary!$C$3))</f>
        <v>51</v>
      </c>
      <c r="O75" s="6" t="s">
        <v>4</v>
      </c>
      <c r="P75" s="6" t="s">
        <v>69</v>
      </c>
      <c r="Q75" s="6" t="s">
        <v>977</v>
      </c>
      <c r="R75" s="6" t="s">
        <v>978</v>
      </c>
      <c r="S75" s="6" t="s">
        <v>979</v>
      </c>
      <c r="T75" s="6" t="s">
        <v>89</v>
      </c>
      <c r="U75" s="6" t="s">
        <v>89</v>
      </c>
      <c r="V75" s="6" t="s">
        <v>980</v>
      </c>
      <c r="W75" s="6" t="s">
        <v>382</v>
      </c>
      <c r="X75" s="6" t="s">
        <v>981</v>
      </c>
      <c r="Y75" s="6" t="s">
        <v>982</v>
      </c>
      <c r="Z75" s="6" t="s">
        <v>79</v>
      </c>
      <c r="AA75" s="6" t="s">
        <v>194</v>
      </c>
    </row>
    <row r="76" customFormat="false" ht="43.25" hidden="false" customHeight="false" outlineLevel="0" collapsed="false">
      <c r="A76" s="6" t="s">
        <v>983</v>
      </c>
      <c r="B76" s="6" t="s">
        <v>984</v>
      </c>
      <c r="C76" s="6" t="s">
        <v>985</v>
      </c>
      <c r="D76" s="6" t="s">
        <v>986</v>
      </c>
      <c r="E76" s="6" t="s">
        <v>17</v>
      </c>
      <c r="F76" s="6" t="s">
        <v>987</v>
      </c>
      <c r="G76" s="6" t="s">
        <v>122</v>
      </c>
      <c r="H76" s="6" t="s">
        <v>988</v>
      </c>
      <c r="I76" s="6" t="s">
        <v>989</v>
      </c>
      <c r="J76" s="6" t="s">
        <v>637</v>
      </c>
      <c r="K76" s="7" t="n">
        <v>46568</v>
      </c>
      <c r="L76" s="6" t="s">
        <v>68</v>
      </c>
      <c r="M76" s="7"/>
      <c r="N76" s="8" t="n">
        <f aca="false">IF(M76&lt;&gt;"",M76-Summary!$C$3,IF(K76="","",K76-Summary!$C$3))</f>
        <v>263</v>
      </c>
      <c r="O76" s="6" t="s">
        <v>4</v>
      </c>
      <c r="P76" s="6" t="s">
        <v>990</v>
      </c>
      <c r="Q76" s="6" t="s">
        <v>228</v>
      </c>
      <c r="R76" s="6" t="s">
        <v>991</v>
      </c>
      <c r="S76" s="6" t="s">
        <v>992</v>
      </c>
      <c r="T76" s="6" t="s">
        <v>993</v>
      </c>
      <c r="U76" s="6" t="s">
        <v>89</v>
      </c>
      <c r="V76" s="6" t="s">
        <v>89</v>
      </c>
      <c r="W76" s="6" t="s">
        <v>994</v>
      </c>
      <c r="X76" s="6" t="s">
        <v>995</v>
      </c>
      <c r="Y76" s="6" t="s">
        <v>996</v>
      </c>
      <c r="Z76" s="6" t="s">
        <v>79</v>
      </c>
      <c r="AA76" s="6" t="s">
        <v>194</v>
      </c>
    </row>
    <row r="77" customFormat="false" ht="53.7" hidden="false" customHeight="false" outlineLevel="0" collapsed="false">
      <c r="A77" s="6" t="s">
        <v>997</v>
      </c>
      <c r="B77" s="6" t="s">
        <v>998</v>
      </c>
      <c r="C77" s="6" t="s">
        <v>999</v>
      </c>
      <c r="D77" s="6" t="s">
        <v>1000</v>
      </c>
      <c r="E77" s="6" t="s">
        <v>21</v>
      </c>
      <c r="F77" s="6" t="s">
        <v>1001</v>
      </c>
      <c r="G77" s="6" t="s">
        <v>1002</v>
      </c>
      <c r="H77" s="6" t="s">
        <v>65</v>
      </c>
      <c r="I77" s="6" t="s">
        <v>1003</v>
      </c>
      <c r="J77" s="6" t="s">
        <v>960</v>
      </c>
      <c r="K77" s="7" t="n">
        <v>47391</v>
      </c>
      <c r="L77" s="6" t="s">
        <v>68</v>
      </c>
      <c r="M77" s="7"/>
      <c r="N77" s="8" t="n">
        <f aca="false">IF(M77&lt;&gt;"",M77-Summary!$C$3,IF(K77="","",K77-Summary!$C$3))</f>
        <v>1086</v>
      </c>
      <c r="O77" s="6" t="s">
        <v>4</v>
      </c>
      <c r="P77" s="6" t="s">
        <v>869</v>
      </c>
      <c r="Q77" s="6" t="s">
        <v>134</v>
      </c>
      <c r="R77" s="6" t="s">
        <v>1004</v>
      </c>
      <c r="S77" s="6" t="s">
        <v>1005</v>
      </c>
      <c r="T77" s="6" t="s">
        <v>1006</v>
      </c>
      <c r="U77" s="6" t="s">
        <v>89</v>
      </c>
      <c r="V77" s="6" t="s">
        <v>1007</v>
      </c>
      <c r="W77" s="6" t="s">
        <v>1008</v>
      </c>
      <c r="X77" s="6" t="s">
        <v>1009</v>
      </c>
      <c r="Y77" s="6" t="s">
        <v>1010</v>
      </c>
      <c r="Z77" s="6" t="s">
        <v>79</v>
      </c>
      <c r="AA77" s="6" t="s">
        <v>80</v>
      </c>
    </row>
    <row r="78" customFormat="false" ht="53.7" hidden="false" customHeight="false" outlineLevel="0" collapsed="false">
      <c r="A78" s="6" t="s">
        <v>1011</v>
      </c>
      <c r="B78" s="6" t="s">
        <v>1012</v>
      </c>
      <c r="C78" s="6" t="s">
        <v>1011</v>
      </c>
      <c r="D78" s="6" t="s">
        <v>1013</v>
      </c>
      <c r="E78" s="6" t="s">
        <v>21</v>
      </c>
      <c r="F78" s="6" t="s">
        <v>162</v>
      </c>
      <c r="G78" s="6" t="s">
        <v>122</v>
      </c>
      <c r="H78" s="6" t="s">
        <v>65</v>
      </c>
      <c r="I78" s="6" t="s">
        <v>1014</v>
      </c>
      <c r="J78" s="6" t="s">
        <v>1015</v>
      </c>
      <c r="K78" s="7" t="n">
        <v>46691</v>
      </c>
      <c r="L78" s="6" t="s">
        <v>68</v>
      </c>
      <c r="M78" s="7"/>
      <c r="N78" s="8" t="n">
        <f aca="false">IF(M78&lt;&gt;"",M78-Summary!$C$3,IF(K78="","",K78-Summary!$C$3))</f>
        <v>386</v>
      </c>
      <c r="O78" s="6" t="s">
        <v>4</v>
      </c>
      <c r="P78" s="6" t="s">
        <v>69</v>
      </c>
      <c r="Q78" s="6" t="s">
        <v>720</v>
      </c>
      <c r="R78" s="6" t="s">
        <v>243</v>
      </c>
      <c r="S78" s="6" t="s">
        <v>1016</v>
      </c>
      <c r="T78" s="6" t="s">
        <v>1017</v>
      </c>
      <c r="U78" s="6" t="s">
        <v>89</v>
      </c>
      <c r="V78" s="6" t="s">
        <v>89</v>
      </c>
      <c r="W78" s="6" t="s">
        <v>1018</v>
      </c>
      <c r="X78" s="6" t="s">
        <v>1019</v>
      </c>
      <c r="Y78" s="6" t="s">
        <v>1020</v>
      </c>
      <c r="Z78" s="6" t="s">
        <v>79</v>
      </c>
      <c r="AA78" s="6" t="s">
        <v>80</v>
      </c>
    </row>
    <row r="79" customFormat="false" ht="43.25" hidden="false" customHeight="false" outlineLevel="0" collapsed="false">
      <c r="A79" s="6" t="s">
        <v>1021</v>
      </c>
      <c r="B79" s="6" t="s">
        <v>1022</v>
      </c>
      <c r="C79" s="6" t="s">
        <v>1023</v>
      </c>
      <c r="D79" s="6" t="s">
        <v>1024</v>
      </c>
      <c r="E79" s="6" t="s">
        <v>25</v>
      </c>
      <c r="F79" s="6" t="s">
        <v>834</v>
      </c>
      <c r="G79" s="6" t="s">
        <v>1025</v>
      </c>
      <c r="H79" s="6" t="s">
        <v>65</v>
      </c>
      <c r="I79" s="6" t="s">
        <v>1026</v>
      </c>
      <c r="J79" s="6" t="s">
        <v>1027</v>
      </c>
      <c r="K79" s="7" t="n">
        <v>46630</v>
      </c>
      <c r="L79" s="6" t="s">
        <v>68</v>
      </c>
      <c r="M79" s="7"/>
      <c r="N79" s="8" t="n">
        <f aca="false">IF(M79&lt;&gt;"",M79-Summary!$C$3,IF(K79="","",K79-Summary!$C$3))</f>
        <v>325</v>
      </c>
      <c r="O79" s="6" t="s">
        <v>4</v>
      </c>
      <c r="P79" s="6" t="s">
        <v>69</v>
      </c>
      <c r="Q79" s="6" t="s">
        <v>1028</v>
      </c>
      <c r="R79" s="6" t="s">
        <v>1029</v>
      </c>
      <c r="S79" s="6" t="s">
        <v>1030</v>
      </c>
      <c r="T79" s="6" t="s">
        <v>89</v>
      </c>
      <c r="U79" s="6" t="s">
        <v>1031</v>
      </c>
      <c r="V79" s="6" t="s">
        <v>1032</v>
      </c>
      <c r="W79" s="6" t="s">
        <v>1033</v>
      </c>
      <c r="X79" s="6" t="s">
        <v>1034</v>
      </c>
      <c r="Y79" s="6" t="s">
        <v>1035</v>
      </c>
      <c r="Z79" s="6" t="s">
        <v>79</v>
      </c>
      <c r="AA79" s="6" t="s">
        <v>80</v>
      </c>
    </row>
    <row r="80" customFormat="false" ht="53.7" hidden="false" customHeight="false" outlineLevel="0" collapsed="false">
      <c r="A80" s="6" t="s">
        <v>1021</v>
      </c>
      <c r="B80" s="6" t="s">
        <v>1036</v>
      </c>
      <c r="C80" s="6" t="s">
        <v>1037</v>
      </c>
      <c r="D80" s="6" t="s">
        <v>1038</v>
      </c>
      <c r="E80" s="6" t="s">
        <v>19</v>
      </c>
      <c r="F80" s="6" t="s">
        <v>224</v>
      </c>
      <c r="G80" s="6" t="s">
        <v>1039</v>
      </c>
      <c r="H80" s="6" t="s">
        <v>65</v>
      </c>
      <c r="I80" s="6" t="s">
        <v>622</v>
      </c>
      <c r="J80" s="6" t="s">
        <v>1040</v>
      </c>
      <c r="K80" s="7" t="n">
        <v>46660</v>
      </c>
      <c r="L80" s="6" t="s">
        <v>68</v>
      </c>
      <c r="M80" s="7"/>
      <c r="N80" s="8" t="n">
        <f aca="false">IF(M80&lt;&gt;"",M80-Summary!$C$3,IF(K80="","",K80-Summary!$C$3))</f>
        <v>355</v>
      </c>
      <c r="O80" s="6" t="s">
        <v>4</v>
      </c>
      <c r="P80" s="6" t="s">
        <v>1041</v>
      </c>
      <c r="Q80" s="6" t="s">
        <v>1042</v>
      </c>
      <c r="R80" s="6" t="s">
        <v>1043</v>
      </c>
      <c r="S80" s="6" t="s">
        <v>1044</v>
      </c>
      <c r="T80" s="6" t="s">
        <v>1045</v>
      </c>
      <c r="U80" s="6" t="s">
        <v>1046</v>
      </c>
      <c r="V80" s="6" t="s">
        <v>1047</v>
      </c>
      <c r="W80" s="6" t="s">
        <v>1048</v>
      </c>
      <c r="X80" s="6" t="s">
        <v>1049</v>
      </c>
      <c r="Y80" s="6" t="s">
        <v>1050</v>
      </c>
      <c r="Z80" s="6" t="s">
        <v>128</v>
      </c>
      <c r="AA80" s="6" t="s">
        <v>80</v>
      </c>
    </row>
    <row r="81" customFormat="false" ht="53.7" hidden="false" customHeight="false" outlineLevel="0" collapsed="false">
      <c r="A81" s="6" t="s">
        <v>1021</v>
      </c>
      <c r="B81" s="6" t="s">
        <v>1022</v>
      </c>
      <c r="C81" s="6" t="s">
        <v>1051</v>
      </c>
      <c r="D81" s="6" t="s">
        <v>1052</v>
      </c>
      <c r="E81" s="6" t="s">
        <v>24</v>
      </c>
      <c r="F81" s="6" t="s">
        <v>1053</v>
      </c>
      <c r="G81" s="6" t="s">
        <v>1054</v>
      </c>
      <c r="H81" s="6" t="s">
        <v>1055</v>
      </c>
      <c r="I81" s="6" t="s">
        <v>414</v>
      </c>
      <c r="J81" s="6" t="s">
        <v>415</v>
      </c>
      <c r="K81" s="7" t="n">
        <v>46843</v>
      </c>
      <c r="L81" s="6" t="s">
        <v>68</v>
      </c>
      <c r="M81" s="7"/>
      <c r="N81" s="8" t="n">
        <f aca="false">IF(M81&lt;&gt;"",M81-Summary!$C$3,IF(K81="","",K81-Summary!$C$3))</f>
        <v>538</v>
      </c>
      <c r="O81" s="6" t="s">
        <v>4</v>
      </c>
      <c r="P81" s="6" t="s">
        <v>1056</v>
      </c>
      <c r="Q81" s="6" t="s">
        <v>1057</v>
      </c>
      <c r="R81" s="6" t="s">
        <v>1058</v>
      </c>
      <c r="S81" s="6" t="s">
        <v>1059</v>
      </c>
      <c r="T81" s="6" t="s">
        <v>1060</v>
      </c>
      <c r="U81" s="6" t="s">
        <v>1061</v>
      </c>
      <c r="V81" s="6" t="s">
        <v>1062</v>
      </c>
      <c r="W81" s="6" t="s">
        <v>1063</v>
      </c>
      <c r="X81" s="6" t="s">
        <v>1064</v>
      </c>
      <c r="Y81" s="6" t="s">
        <v>1065</v>
      </c>
      <c r="Z81" s="6" t="s">
        <v>79</v>
      </c>
      <c r="AA81" s="6" t="s">
        <v>80</v>
      </c>
    </row>
    <row r="82" customFormat="false" ht="43.25" hidden="false" customHeight="false" outlineLevel="0" collapsed="false">
      <c r="A82" s="6" t="s">
        <v>1021</v>
      </c>
      <c r="B82" s="6" t="s">
        <v>1066</v>
      </c>
      <c r="C82" s="6" t="s">
        <v>1067</v>
      </c>
      <c r="D82" s="6" t="s">
        <v>1068</v>
      </c>
      <c r="E82" s="6" t="s">
        <v>20</v>
      </c>
      <c r="F82" s="6" t="s">
        <v>147</v>
      </c>
      <c r="G82" s="6" t="s">
        <v>1069</v>
      </c>
      <c r="H82" s="6" t="s">
        <v>1070</v>
      </c>
      <c r="I82" s="6" t="s">
        <v>1071</v>
      </c>
      <c r="J82" s="6" t="s">
        <v>1072</v>
      </c>
      <c r="K82" s="7" t="n">
        <v>46914</v>
      </c>
      <c r="L82" s="6" t="s">
        <v>68</v>
      </c>
      <c r="M82" s="7"/>
      <c r="N82" s="8" t="n">
        <f aca="false">IF(M82&lt;&gt;"",M82-Summary!$C$3,IF(K82="","",K82-Summary!$C$3))</f>
        <v>609</v>
      </c>
      <c r="O82" s="6" t="s">
        <v>4</v>
      </c>
      <c r="P82" s="6" t="s">
        <v>1073</v>
      </c>
      <c r="Q82" s="6" t="s">
        <v>89</v>
      </c>
      <c r="R82" s="6" t="s">
        <v>89</v>
      </c>
      <c r="S82" s="6" t="s">
        <v>1074</v>
      </c>
      <c r="T82" s="6" t="s">
        <v>89</v>
      </c>
      <c r="U82" s="6" t="s">
        <v>89</v>
      </c>
      <c r="V82" s="6" t="s">
        <v>1075</v>
      </c>
      <c r="W82" s="6" t="s">
        <v>1076</v>
      </c>
      <c r="X82" s="6" t="s">
        <v>1077</v>
      </c>
      <c r="Y82" s="6" t="s">
        <v>1078</v>
      </c>
      <c r="Z82" s="6" t="s">
        <v>128</v>
      </c>
      <c r="AA82" s="6" t="s">
        <v>80</v>
      </c>
    </row>
    <row r="83" customFormat="false" ht="64.15" hidden="false" customHeight="false" outlineLevel="0" collapsed="false">
      <c r="A83" s="6" t="s">
        <v>1021</v>
      </c>
      <c r="B83" s="6" t="s">
        <v>1036</v>
      </c>
      <c r="C83" s="6" t="s">
        <v>1079</v>
      </c>
      <c r="D83" s="6" t="s">
        <v>1080</v>
      </c>
      <c r="E83" s="6" t="s">
        <v>19</v>
      </c>
      <c r="F83" s="6" t="s">
        <v>147</v>
      </c>
      <c r="G83" s="6" t="s">
        <v>1081</v>
      </c>
      <c r="H83" s="6" t="s">
        <v>1082</v>
      </c>
      <c r="I83" s="6" t="s">
        <v>1083</v>
      </c>
      <c r="J83" s="6" t="s">
        <v>1084</v>
      </c>
      <c r="K83" s="7" t="n">
        <v>46914</v>
      </c>
      <c r="L83" s="6" t="s">
        <v>68</v>
      </c>
      <c r="M83" s="7"/>
      <c r="N83" s="8" t="n">
        <f aca="false">IF(M83&lt;&gt;"",M83-Summary!$C$3,IF(K83="","",K83-Summary!$C$3))</f>
        <v>609</v>
      </c>
      <c r="O83" s="6" t="s">
        <v>4</v>
      </c>
      <c r="P83" s="6" t="s">
        <v>1056</v>
      </c>
      <c r="Q83" s="6" t="s">
        <v>1057</v>
      </c>
      <c r="R83" s="6" t="s">
        <v>1085</v>
      </c>
      <c r="S83" s="6" t="s">
        <v>1086</v>
      </c>
      <c r="T83" s="6" t="s">
        <v>1087</v>
      </c>
      <c r="U83" s="6" t="s">
        <v>1088</v>
      </c>
      <c r="V83" s="6" t="s">
        <v>1089</v>
      </c>
      <c r="W83" s="6" t="s">
        <v>1090</v>
      </c>
      <c r="X83" s="6" t="s">
        <v>1091</v>
      </c>
      <c r="Y83" s="6" t="s">
        <v>1092</v>
      </c>
      <c r="Z83" s="6" t="s">
        <v>79</v>
      </c>
      <c r="AA83" s="6" t="s">
        <v>80</v>
      </c>
    </row>
    <row r="84" customFormat="false" ht="43.25" hidden="false" customHeight="false" outlineLevel="0" collapsed="false">
      <c r="A84" s="6" t="s">
        <v>1021</v>
      </c>
      <c r="B84" s="6" t="s">
        <v>1036</v>
      </c>
      <c r="C84" s="6" t="s">
        <v>1093</v>
      </c>
      <c r="D84" s="6" t="s">
        <v>1094</v>
      </c>
      <c r="E84" s="6" t="s">
        <v>19</v>
      </c>
      <c r="F84" s="6" t="s">
        <v>224</v>
      </c>
      <c r="G84" s="6" t="s">
        <v>1095</v>
      </c>
      <c r="H84" s="6" t="s">
        <v>65</v>
      </c>
      <c r="I84" s="6" t="s">
        <v>622</v>
      </c>
      <c r="J84" s="6" t="s">
        <v>1096</v>
      </c>
      <c r="K84" s="7" t="n">
        <v>47026</v>
      </c>
      <c r="L84" s="6" t="s">
        <v>68</v>
      </c>
      <c r="M84" s="7"/>
      <c r="N84" s="8" t="n">
        <f aca="false">IF(M84&lt;&gt;"",M84-Summary!$C$3,IF(K84="","",K84-Summary!$C$3))</f>
        <v>721</v>
      </c>
      <c r="O84" s="6" t="s">
        <v>4</v>
      </c>
      <c r="P84" s="6" t="s">
        <v>69</v>
      </c>
      <c r="Q84" s="6" t="s">
        <v>1097</v>
      </c>
      <c r="R84" s="6" t="s">
        <v>1098</v>
      </c>
      <c r="S84" s="6" t="s">
        <v>1099</v>
      </c>
      <c r="T84" s="6" t="s">
        <v>1100</v>
      </c>
      <c r="U84" s="6" t="s">
        <v>1101</v>
      </c>
      <c r="V84" s="6" t="s">
        <v>1102</v>
      </c>
      <c r="W84" s="6" t="s">
        <v>1103</v>
      </c>
      <c r="X84" s="6" t="s">
        <v>1104</v>
      </c>
      <c r="Y84" s="6" t="s">
        <v>1105</v>
      </c>
      <c r="Z84" s="6" t="s">
        <v>128</v>
      </c>
      <c r="AA84" s="6" t="s">
        <v>80</v>
      </c>
    </row>
    <row r="85" customFormat="false" ht="43.25" hidden="false" customHeight="false" outlineLevel="0" collapsed="false">
      <c r="A85" s="6" t="s">
        <v>1106</v>
      </c>
      <c r="B85" s="6" t="s">
        <v>1107</v>
      </c>
      <c r="C85" s="6" t="s">
        <v>1108</v>
      </c>
      <c r="D85" s="6" t="s">
        <v>1109</v>
      </c>
      <c r="E85" s="6" t="s">
        <v>18</v>
      </c>
      <c r="F85" s="6" t="s">
        <v>1110</v>
      </c>
      <c r="G85" s="6" t="s">
        <v>122</v>
      </c>
      <c r="H85" s="6" t="s">
        <v>226</v>
      </c>
      <c r="I85" s="6" t="s">
        <v>1111</v>
      </c>
      <c r="J85" s="6" t="s">
        <v>1112</v>
      </c>
      <c r="K85" s="7" t="n">
        <v>47361</v>
      </c>
      <c r="L85" s="6" t="s">
        <v>68</v>
      </c>
      <c r="M85" s="7"/>
      <c r="N85" s="8" t="n">
        <f aca="false">IF(M85&lt;&gt;"",M85-Summary!$C$3,IF(K85="","",K85-Summary!$C$3))</f>
        <v>1056</v>
      </c>
      <c r="O85" s="6" t="s">
        <v>4</v>
      </c>
      <c r="P85" s="6" t="s">
        <v>1113</v>
      </c>
      <c r="Q85" s="6" t="s">
        <v>89</v>
      </c>
      <c r="R85" s="6" t="s">
        <v>1114</v>
      </c>
      <c r="S85" s="6" t="s">
        <v>1115</v>
      </c>
      <c r="T85" s="6" t="s">
        <v>1116</v>
      </c>
      <c r="U85" s="6" t="s">
        <v>89</v>
      </c>
      <c r="V85" s="6" t="s">
        <v>1117</v>
      </c>
      <c r="W85" s="6" t="s">
        <v>89</v>
      </c>
      <c r="X85" s="6" t="s">
        <v>89</v>
      </c>
      <c r="Y85" s="6" t="s">
        <v>1118</v>
      </c>
      <c r="Z85" s="6" t="s">
        <v>79</v>
      </c>
      <c r="AA85" s="6" t="s">
        <v>80</v>
      </c>
    </row>
    <row r="86" customFormat="false" ht="43.25" hidden="false" customHeight="false" outlineLevel="0" collapsed="false">
      <c r="A86" s="6" t="s">
        <v>1119</v>
      </c>
      <c r="B86" s="6" t="s">
        <v>1119</v>
      </c>
      <c r="C86" s="6" t="s">
        <v>1120</v>
      </c>
      <c r="D86" s="6" t="s">
        <v>1121</v>
      </c>
      <c r="E86" s="6" t="s">
        <v>17</v>
      </c>
      <c r="F86" s="6" t="s">
        <v>834</v>
      </c>
      <c r="G86" s="6" t="s">
        <v>122</v>
      </c>
      <c r="H86" s="6" t="s">
        <v>65</v>
      </c>
      <c r="I86" s="6" t="s">
        <v>1122</v>
      </c>
      <c r="J86" s="6" t="s">
        <v>1123</v>
      </c>
      <c r="K86" s="7" t="n">
        <v>46474</v>
      </c>
      <c r="L86" s="6" t="s">
        <v>68</v>
      </c>
      <c r="M86" s="7"/>
      <c r="N86" s="8" t="n">
        <f aca="false">IF(M86&lt;&gt;"",M86-Summary!$C$3,IF(K86="","",K86-Summary!$C$3))</f>
        <v>169</v>
      </c>
      <c r="O86" s="6" t="s">
        <v>4</v>
      </c>
      <c r="P86" s="6" t="s">
        <v>1124</v>
      </c>
      <c r="Q86" s="6" t="s">
        <v>1125</v>
      </c>
      <c r="R86" s="6" t="s">
        <v>1126</v>
      </c>
      <c r="S86" s="6" t="s">
        <v>1127</v>
      </c>
      <c r="T86" s="6" t="s">
        <v>89</v>
      </c>
      <c r="U86" s="6" t="s">
        <v>89</v>
      </c>
      <c r="V86" s="6" t="s">
        <v>89</v>
      </c>
      <c r="W86" s="6" t="s">
        <v>89</v>
      </c>
      <c r="X86" s="6" t="s">
        <v>89</v>
      </c>
      <c r="Y86" s="6" t="s">
        <v>1128</v>
      </c>
      <c r="Z86" s="6" t="s">
        <v>128</v>
      </c>
      <c r="AA86" s="6" t="s">
        <v>80</v>
      </c>
    </row>
    <row r="87" customFormat="false" ht="64.15" hidden="false" customHeight="false" outlineLevel="0" collapsed="false">
      <c r="A87" s="6" t="s">
        <v>1119</v>
      </c>
      <c r="B87" s="6" t="s">
        <v>1119</v>
      </c>
      <c r="C87" s="6" t="s">
        <v>1120</v>
      </c>
      <c r="D87" s="6" t="s">
        <v>1129</v>
      </c>
      <c r="E87" s="6" t="s">
        <v>26</v>
      </c>
      <c r="F87" s="6" t="s">
        <v>987</v>
      </c>
      <c r="G87" s="6" t="s">
        <v>122</v>
      </c>
      <c r="H87" s="6" t="s">
        <v>65</v>
      </c>
      <c r="I87" s="6" t="s">
        <v>1130</v>
      </c>
      <c r="J87" s="6" t="s">
        <v>1131</v>
      </c>
      <c r="K87" s="7" t="n">
        <v>46687</v>
      </c>
      <c r="L87" s="6" t="s">
        <v>68</v>
      </c>
      <c r="M87" s="7"/>
      <c r="N87" s="8" t="n">
        <f aca="false">IF(M87&lt;&gt;"",M87-Summary!$C$3,IF(K87="","",K87-Summary!$C$3))</f>
        <v>382</v>
      </c>
      <c r="O87" s="6" t="s">
        <v>4</v>
      </c>
      <c r="P87" s="6" t="s">
        <v>1132</v>
      </c>
      <c r="Q87" s="6" t="s">
        <v>1133</v>
      </c>
      <c r="R87" s="6" t="s">
        <v>1134</v>
      </c>
      <c r="S87" s="6" t="s">
        <v>1135</v>
      </c>
      <c r="T87" s="6" t="s">
        <v>1136</v>
      </c>
      <c r="U87" s="6" t="s">
        <v>89</v>
      </c>
      <c r="V87" s="6" t="s">
        <v>845</v>
      </c>
      <c r="W87" s="6" t="s">
        <v>1137</v>
      </c>
      <c r="X87" s="6" t="s">
        <v>1138</v>
      </c>
      <c r="Y87" s="6" t="s">
        <v>1139</v>
      </c>
      <c r="Z87" s="6" t="s">
        <v>79</v>
      </c>
      <c r="AA87" s="6" t="s">
        <v>80</v>
      </c>
    </row>
    <row r="88" customFormat="false" ht="53.7" hidden="false" customHeight="false" outlineLevel="0" collapsed="false">
      <c r="A88" s="6" t="s">
        <v>1140</v>
      </c>
      <c r="B88" s="6" t="s">
        <v>1141</v>
      </c>
      <c r="C88" s="6" t="s">
        <v>1142</v>
      </c>
      <c r="D88" s="6" t="s">
        <v>1143</v>
      </c>
      <c r="E88" s="6" t="s">
        <v>18</v>
      </c>
      <c r="F88" s="6" t="s">
        <v>147</v>
      </c>
      <c r="G88" s="6" t="s">
        <v>85</v>
      </c>
      <c r="H88" s="6" t="s">
        <v>65</v>
      </c>
      <c r="I88" s="6" t="s">
        <v>1144</v>
      </c>
      <c r="J88" s="6" t="s">
        <v>176</v>
      </c>
      <c r="K88" s="7" t="n">
        <v>46812</v>
      </c>
      <c r="L88" s="6" t="s">
        <v>68</v>
      </c>
      <c r="M88" s="7"/>
      <c r="N88" s="8" t="n">
        <f aca="false">IF(M88&lt;&gt;"",M88-Summary!$C$3,IF(K88="","",K88-Summary!$C$3))</f>
        <v>507</v>
      </c>
      <c r="O88" s="6" t="s">
        <v>4</v>
      </c>
      <c r="P88" s="6" t="s">
        <v>1145</v>
      </c>
      <c r="Q88" s="6" t="s">
        <v>89</v>
      </c>
      <c r="R88" s="6" t="s">
        <v>1146</v>
      </c>
      <c r="S88" s="6" t="s">
        <v>1147</v>
      </c>
      <c r="T88" s="6" t="s">
        <v>1148</v>
      </c>
      <c r="U88" s="6" t="s">
        <v>1149</v>
      </c>
      <c r="V88" s="6" t="s">
        <v>1150</v>
      </c>
      <c r="W88" s="6" t="s">
        <v>1151</v>
      </c>
      <c r="X88" s="6" t="s">
        <v>1152</v>
      </c>
      <c r="Y88" s="6" t="s">
        <v>1153</v>
      </c>
      <c r="Z88" s="6" t="s">
        <v>79</v>
      </c>
      <c r="AA88" s="6" t="s">
        <v>80</v>
      </c>
    </row>
    <row r="89" customFormat="false" ht="64.15" hidden="false" customHeight="false" outlineLevel="0" collapsed="false">
      <c r="A89" s="6" t="s">
        <v>1140</v>
      </c>
      <c r="B89" s="6" t="s">
        <v>1154</v>
      </c>
      <c r="C89" s="6" t="s">
        <v>1155</v>
      </c>
      <c r="D89" s="6" t="s">
        <v>1156</v>
      </c>
      <c r="E89" s="6" t="s">
        <v>19</v>
      </c>
      <c r="F89" s="6" t="s">
        <v>147</v>
      </c>
      <c r="G89" s="6" t="s">
        <v>1157</v>
      </c>
      <c r="H89" s="6" t="s">
        <v>988</v>
      </c>
      <c r="I89" s="6" t="s">
        <v>1158</v>
      </c>
      <c r="J89" s="6" t="s">
        <v>176</v>
      </c>
      <c r="K89" s="7" t="n">
        <v>46812</v>
      </c>
      <c r="L89" s="6" t="s">
        <v>68</v>
      </c>
      <c r="M89" s="7"/>
      <c r="N89" s="8" t="n">
        <f aca="false">IF(M89&lt;&gt;"",M89-Summary!$C$3,IF(K89="","",K89-Summary!$C$3))</f>
        <v>507</v>
      </c>
      <c r="O89" s="6" t="s">
        <v>4</v>
      </c>
      <c r="P89" s="6" t="s">
        <v>1159</v>
      </c>
      <c r="Q89" s="6" t="s">
        <v>1160</v>
      </c>
      <c r="R89" s="6" t="s">
        <v>1161</v>
      </c>
      <c r="S89" s="6" t="s">
        <v>1162</v>
      </c>
      <c r="T89" s="6" t="s">
        <v>1163</v>
      </c>
      <c r="U89" s="6" t="s">
        <v>1164</v>
      </c>
      <c r="V89" s="6" t="s">
        <v>1165</v>
      </c>
      <c r="W89" s="6" t="s">
        <v>1166</v>
      </c>
      <c r="X89" s="6" t="s">
        <v>1167</v>
      </c>
      <c r="Y89" s="6" t="s">
        <v>1168</v>
      </c>
      <c r="Z89" s="6" t="s">
        <v>79</v>
      </c>
      <c r="AA89" s="6" t="s">
        <v>80</v>
      </c>
    </row>
    <row r="90" customFormat="false" ht="53.7" hidden="false" customHeight="false" outlineLevel="0" collapsed="false">
      <c r="A90" s="6" t="s">
        <v>1140</v>
      </c>
      <c r="B90" s="6" t="s">
        <v>1141</v>
      </c>
      <c r="C90" s="6" t="s">
        <v>1169</v>
      </c>
      <c r="D90" s="6" t="s">
        <v>1170</v>
      </c>
      <c r="E90" s="6" t="s">
        <v>19</v>
      </c>
      <c r="F90" s="6" t="s">
        <v>224</v>
      </c>
      <c r="G90" s="6" t="s">
        <v>1171</v>
      </c>
      <c r="H90" s="6" t="s">
        <v>65</v>
      </c>
      <c r="I90" s="6" t="s">
        <v>959</v>
      </c>
      <c r="J90" s="6" t="s">
        <v>1172</v>
      </c>
      <c r="K90" s="7" t="n">
        <v>47087</v>
      </c>
      <c r="L90" s="6" t="s">
        <v>68</v>
      </c>
      <c r="M90" s="7"/>
      <c r="N90" s="8" t="n">
        <f aca="false">IF(M90&lt;&gt;"",M90-Summary!$C$3,IF(K90="","",K90-Summary!$C$3))</f>
        <v>782</v>
      </c>
      <c r="O90" s="6" t="s">
        <v>4</v>
      </c>
      <c r="P90" s="6" t="s">
        <v>1056</v>
      </c>
      <c r="Q90" s="6" t="s">
        <v>110</v>
      </c>
      <c r="R90" s="6" t="s">
        <v>1173</v>
      </c>
      <c r="S90" s="6" t="s">
        <v>1174</v>
      </c>
      <c r="T90" s="6" t="s">
        <v>1175</v>
      </c>
      <c r="U90" s="6" t="s">
        <v>1176</v>
      </c>
      <c r="V90" s="6" t="s">
        <v>1177</v>
      </c>
      <c r="W90" s="6" t="s">
        <v>1178</v>
      </c>
      <c r="X90" s="6" t="s">
        <v>1179</v>
      </c>
      <c r="Y90" s="6" t="s">
        <v>1180</v>
      </c>
      <c r="Z90" s="6" t="s">
        <v>79</v>
      </c>
      <c r="AA90" s="6" t="s">
        <v>80</v>
      </c>
    </row>
    <row r="91" customFormat="false" ht="64.15" hidden="false" customHeight="false" outlineLevel="0" collapsed="false">
      <c r="A91" s="6" t="s">
        <v>1140</v>
      </c>
      <c r="B91" s="6" t="s">
        <v>1181</v>
      </c>
      <c r="C91" s="6" t="s">
        <v>1182</v>
      </c>
      <c r="D91" s="6" t="s">
        <v>1183</v>
      </c>
      <c r="E91" s="6" t="s">
        <v>19</v>
      </c>
      <c r="F91" s="6" t="s">
        <v>224</v>
      </c>
      <c r="G91" s="6" t="s">
        <v>1184</v>
      </c>
      <c r="H91" s="6" t="s">
        <v>65</v>
      </c>
      <c r="I91" s="6" t="s">
        <v>959</v>
      </c>
      <c r="J91" s="6" t="s">
        <v>1172</v>
      </c>
      <c r="K91" s="7" t="n">
        <v>47087</v>
      </c>
      <c r="L91" s="6" t="s">
        <v>68</v>
      </c>
      <c r="M91" s="7"/>
      <c r="N91" s="8" t="n">
        <f aca="false">IF(M91&lt;&gt;"",M91-Summary!$C$3,IF(K91="","",K91-Summary!$C$3))</f>
        <v>782</v>
      </c>
      <c r="O91" s="6" t="s">
        <v>4</v>
      </c>
      <c r="P91" s="6" t="s">
        <v>1056</v>
      </c>
      <c r="Q91" s="6" t="s">
        <v>110</v>
      </c>
      <c r="R91" s="6" t="s">
        <v>1185</v>
      </c>
      <c r="S91" s="6" t="s">
        <v>1186</v>
      </c>
      <c r="T91" s="6" t="s">
        <v>1187</v>
      </c>
      <c r="U91" s="6" t="s">
        <v>1188</v>
      </c>
      <c r="V91" s="6" t="s">
        <v>1189</v>
      </c>
      <c r="W91" s="6" t="s">
        <v>1190</v>
      </c>
      <c r="X91" s="6" t="s">
        <v>1191</v>
      </c>
      <c r="Y91" s="6" t="s">
        <v>1192</v>
      </c>
      <c r="Z91" s="6" t="s">
        <v>79</v>
      </c>
      <c r="AA91" s="6" t="s">
        <v>80</v>
      </c>
    </row>
    <row r="92" customFormat="false" ht="53.7" hidden="false" customHeight="false" outlineLevel="0" collapsed="false">
      <c r="A92" s="6" t="s">
        <v>1140</v>
      </c>
      <c r="B92" s="6" t="s">
        <v>1141</v>
      </c>
      <c r="C92" s="6" t="s">
        <v>1193</v>
      </c>
      <c r="D92" s="6" t="s">
        <v>1194</v>
      </c>
      <c r="E92" s="6" t="s">
        <v>19</v>
      </c>
      <c r="F92" s="6" t="s">
        <v>162</v>
      </c>
      <c r="G92" s="6" t="s">
        <v>1195</v>
      </c>
      <c r="H92" s="6" t="s">
        <v>65</v>
      </c>
      <c r="I92" s="6" t="s">
        <v>959</v>
      </c>
      <c r="J92" s="6" t="s">
        <v>1172</v>
      </c>
      <c r="K92" s="7" t="n">
        <v>47087</v>
      </c>
      <c r="L92" s="6" t="s">
        <v>68</v>
      </c>
      <c r="M92" s="7"/>
      <c r="N92" s="8" t="n">
        <f aca="false">IF(M92&lt;&gt;"",M92-Summary!$C$3,IF(K92="","",K92-Summary!$C$3))</f>
        <v>782</v>
      </c>
      <c r="O92" s="6" t="s">
        <v>4</v>
      </c>
      <c r="P92" s="6" t="s">
        <v>1056</v>
      </c>
      <c r="Q92" s="6" t="s">
        <v>110</v>
      </c>
      <c r="R92" s="6" t="s">
        <v>1196</v>
      </c>
      <c r="S92" s="6" t="s">
        <v>1197</v>
      </c>
      <c r="T92" s="6" t="s">
        <v>1198</v>
      </c>
      <c r="U92" s="6" t="s">
        <v>1199</v>
      </c>
      <c r="V92" s="6" t="s">
        <v>1200</v>
      </c>
      <c r="W92" s="6" t="s">
        <v>1201</v>
      </c>
      <c r="X92" s="6" t="s">
        <v>1202</v>
      </c>
      <c r="Y92" s="6" t="s">
        <v>1203</v>
      </c>
      <c r="Z92" s="6" t="s">
        <v>79</v>
      </c>
      <c r="AA92" s="6" t="s">
        <v>80</v>
      </c>
    </row>
    <row r="93" customFormat="false" ht="43.25" hidden="false" customHeight="false" outlineLevel="0" collapsed="false">
      <c r="A93" s="6" t="s">
        <v>1204</v>
      </c>
      <c r="B93" s="6" t="s">
        <v>1205</v>
      </c>
      <c r="C93" s="6" t="s">
        <v>1206</v>
      </c>
      <c r="D93" s="6" t="s">
        <v>1207</v>
      </c>
      <c r="E93" s="6" t="s">
        <v>19</v>
      </c>
      <c r="F93" s="6" t="s">
        <v>224</v>
      </c>
      <c r="G93" s="6" t="s">
        <v>1171</v>
      </c>
      <c r="H93" s="6" t="s">
        <v>65</v>
      </c>
      <c r="I93" s="6" t="s">
        <v>1208</v>
      </c>
      <c r="J93" s="6" t="s">
        <v>1209</v>
      </c>
      <c r="K93" s="7" t="n">
        <v>47087</v>
      </c>
      <c r="L93" s="6" t="s">
        <v>68</v>
      </c>
      <c r="M93" s="7"/>
      <c r="N93" s="8" t="n">
        <f aca="false">IF(M93&lt;&gt;"",M93-Summary!$C$3,IF(K93="","",K93-Summary!$C$3))</f>
        <v>782</v>
      </c>
      <c r="O93" s="6" t="s">
        <v>4</v>
      </c>
      <c r="P93" s="6" t="s">
        <v>1210</v>
      </c>
      <c r="Q93" s="6" t="s">
        <v>1211</v>
      </c>
      <c r="R93" s="6" t="s">
        <v>1212</v>
      </c>
      <c r="S93" s="6" t="s">
        <v>1213</v>
      </c>
      <c r="T93" s="6" t="s">
        <v>1214</v>
      </c>
      <c r="U93" s="6" t="s">
        <v>1215</v>
      </c>
      <c r="V93" s="6" t="s">
        <v>1216</v>
      </c>
      <c r="W93" s="6" t="s">
        <v>1217</v>
      </c>
      <c r="X93" s="6" t="s">
        <v>1218</v>
      </c>
      <c r="Y93" s="6" t="s">
        <v>1219</v>
      </c>
      <c r="Z93" s="6" t="s">
        <v>79</v>
      </c>
      <c r="AA93" s="6" t="s">
        <v>80</v>
      </c>
    </row>
    <row r="94" customFormat="false" ht="53.7" hidden="false" customHeight="false" outlineLevel="0" collapsed="false">
      <c r="A94" s="6" t="s">
        <v>1220</v>
      </c>
      <c r="B94" s="6" t="s">
        <v>1221</v>
      </c>
      <c r="C94" s="6" t="s">
        <v>1220</v>
      </c>
      <c r="D94" s="6" t="s">
        <v>1222</v>
      </c>
      <c r="E94" s="6" t="s">
        <v>21</v>
      </c>
      <c r="F94" s="6" t="s">
        <v>224</v>
      </c>
      <c r="G94" s="6" t="s">
        <v>122</v>
      </c>
      <c r="H94" s="6" t="s">
        <v>65</v>
      </c>
      <c r="I94" s="6" t="s">
        <v>1223</v>
      </c>
      <c r="J94" s="6" t="s">
        <v>1224</v>
      </c>
      <c r="K94" s="7" t="n">
        <v>46648</v>
      </c>
      <c r="L94" s="6" t="s">
        <v>68</v>
      </c>
      <c r="M94" s="7"/>
      <c r="N94" s="8" t="n">
        <f aca="false">IF(M94&lt;&gt;"",M94-Summary!$C$3,IF(K94="","",K94-Summary!$C$3))</f>
        <v>343</v>
      </c>
      <c r="O94" s="6" t="s">
        <v>4</v>
      </c>
      <c r="P94" s="6" t="s">
        <v>69</v>
      </c>
      <c r="Q94" s="6" t="s">
        <v>1225</v>
      </c>
      <c r="R94" s="6" t="s">
        <v>1226</v>
      </c>
      <c r="S94" s="6" t="s">
        <v>1227</v>
      </c>
      <c r="T94" s="6" t="s">
        <v>1017</v>
      </c>
      <c r="U94" s="6" t="s">
        <v>1228</v>
      </c>
      <c r="V94" s="6" t="s">
        <v>1229</v>
      </c>
      <c r="W94" s="6" t="s">
        <v>1230</v>
      </c>
      <c r="X94" s="6" t="s">
        <v>1231</v>
      </c>
      <c r="Y94" s="6" t="s">
        <v>1232</v>
      </c>
      <c r="Z94" s="6" t="s">
        <v>79</v>
      </c>
      <c r="AA94" s="6" t="s">
        <v>80</v>
      </c>
    </row>
    <row r="95" customFormat="false" ht="53.7" hidden="false" customHeight="false" outlineLevel="0" collapsed="false">
      <c r="A95" s="6" t="s">
        <v>1233</v>
      </c>
      <c r="B95" s="6" t="s">
        <v>1234</v>
      </c>
      <c r="C95" s="6" t="s">
        <v>1235</v>
      </c>
      <c r="D95" s="6" t="s">
        <v>1236</v>
      </c>
      <c r="E95" s="6" t="s">
        <v>26</v>
      </c>
      <c r="F95" s="6" t="s">
        <v>1237</v>
      </c>
      <c r="G95" s="6" t="s">
        <v>122</v>
      </c>
      <c r="H95" s="6" t="s">
        <v>65</v>
      </c>
      <c r="I95" s="6" t="s">
        <v>809</v>
      </c>
      <c r="J95" s="6" t="s">
        <v>1238</v>
      </c>
      <c r="K95" s="7" t="n">
        <v>46203</v>
      </c>
      <c r="L95" s="6" t="s">
        <v>68</v>
      </c>
      <c r="M95" s="7"/>
      <c r="N95" s="8" t="n">
        <f aca="false">IF(M95&lt;&gt;"",M95-Summary!$C$3,IF(K95="","",K95-Summary!$C$3))</f>
        <v>-102</v>
      </c>
      <c r="O95" s="6" t="s">
        <v>4</v>
      </c>
      <c r="P95" s="6" t="s">
        <v>1239</v>
      </c>
      <c r="Q95" s="6" t="s">
        <v>1240</v>
      </c>
      <c r="R95" s="6" t="s">
        <v>1241</v>
      </c>
      <c r="S95" s="6" t="s">
        <v>1242</v>
      </c>
      <c r="T95" s="6" t="s">
        <v>89</v>
      </c>
      <c r="U95" s="6" t="s">
        <v>89</v>
      </c>
      <c r="V95" s="6" t="s">
        <v>845</v>
      </c>
      <c r="W95" s="6" t="s">
        <v>1243</v>
      </c>
      <c r="X95" s="6" t="s">
        <v>1244</v>
      </c>
      <c r="Y95" s="6" t="s">
        <v>1245</v>
      </c>
      <c r="Z95" s="6" t="s">
        <v>128</v>
      </c>
      <c r="AA95" s="6" t="s">
        <v>80</v>
      </c>
    </row>
    <row r="96" customFormat="false" ht="53.7" hidden="false" customHeight="false" outlineLevel="0" collapsed="false">
      <c r="A96" s="6" t="s">
        <v>1246</v>
      </c>
      <c r="B96" s="6" t="s">
        <v>1247</v>
      </c>
      <c r="C96" s="6" t="s">
        <v>1248</v>
      </c>
      <c r="D96" s="6" t="s">
        <v>1249</v>
      </c>
      <c r="E96" s="6" t="s">
        <v>21</v>
      </c>
      <c r="F96" s="6" t="s">
        <v>224</v>
      </c>
      <c r="G96" s="6" t="s">
        <v>1250</v>
      </c>
      <c r="H96" s="6" t="s">
        <v>65</v>
      </c>
      <c r="I96" s="6" t="s">
        <v>1026</v>
      </c>
      <c r="J96" s="6" t="s">
        <v>1251</v>
      </c>
      <c r="K96" s="7" t="n">
        <v>46630</v>
      </c>
      <c r="L96" s="6" t="s">
        <v>68</v>
      </c>
      <c r="M96" s="7"/>
      <c r="N96" s="8" t="n">
        <f aca="false">IF(M96&lt;&gt;"",M96-Summary!$C$3,IF(K96="","",K96-Summary!$C$3))</f>
        <v>325</v>
      </c>
      <c r="O96" s="6" t="s">
        <v>4</v>
      </c>
      <c r="P96" s="6" t="s">
        <v>69</v>
      </c>
      <c r="Q96" s="6" t="s">
        <v>1225</v>
      </c>
      <c r="R96" s="6" t="s">
        <v>1252</v>
      </c>
      <c r="S96" s="6" t="s">
        <v>1253</v>
      </c>
      <c r="T96" s="6" t="s">
        <v>1254</v>
      </c>
      <c r="U96" s="6" t="s">
        <v>1255</v>
      </c>
      <c r="V96" s="6" t="s">
        <v>1256</v>
      </c>
      <c r="W96" s="6" t="s">
        <v>1257</v>
      </c>
      <c r="X96" s="6" t="s">
        <v>1258</v>
      </c>
      <c r="Y96" s="6" t="s">
        <v>1259</v>
      </c>
      <c r="Z96" s="6" t="s">
        <v>79</v>
      </c>
      <c r="AA96" s="6" t="s">
        <v>80</v>
      </c>
    </row>
    <row r="97" customFormat="false" ht="43.25" hidden="false" customHeight="false" outlineLevel="0" collapsed="false">
      <c r="A97" s="6" t="s">
        <v>1260</v>
      </c>
      <c r="B97" s="6" t="s">
        <v>1261</v>
      </c>
      <c r="C97" s="6" t="s">
        <v>1260</v>
      </c>
      <c r="D97" s="6" t="s">
        <v>1262</v>
      </c>
      <c r="E97" s="6" t="s">
        <v>17</v>
      </c>
      <c r="F97" s="6" t="s">
        <v>147</v>
      </c>
      <c r="G97" s="6" t="s">
        <v>122</v>
      </c>
      <c r="H97" s="6" t="s">
        <v>568</v>
      </c>
      <c r="I97" s="6" t="s">
        <v>1263</v>
      </c>
      <c r="J97" s="6" t="s">
        <v>1264</v>
      </c>
      <c r="K97" s="7" t="n">
        <v>45199</v>
      </c>
      <c r="L97" s="6" t="s">
        <v>68</v>
      </c>
      <c r="M97" s="7" t="n">
        <v>46660</v>
      </c>
      <c r="N97" s="8" t="n">
        <f aca="false">IF(M97&lt;&gt;"",M97-Summary!$C$3,IF(K97="","",K97-Summary!$C$3))</f>
        <v>355</v>
      </c>
      <c r="O97" s="6" t="s">
        <v>4</v>
      </c>
      <c r="P97" s="6" t="s">
        <v>1265</v>
      </c>
      <c r="Q97" s="6" t="s">
        <v>1266</v>
      </c>
      <c r="R97" s="6" t="s">
        <v>1267</v>
      </c>
      <c r="S97" s="6" t="s">
        <v>1268</v>
      </c>
      <c r="T97" s="6" t="s">
        <v>89</v>
      </c>
      <c r="U97" s="6" t="s">
        <v>1269</v>
      </c>
      <c r="V97" s="6" t="s">
        <v>89</v>
      </c>
      <c r="W97" s="6" t="s">
        <v>89</v>
      </c>
      <c r="X97" s="6" t="s">
        <v>89</v>
      </c>
      <c r="Y97" s="6" t="s">
        <v>1270</v>
      </c>
      <c r="Z97" s="6" t="s">
        <v>79</v>
      </c>
      <c r="AA97" s="6" t="s">
        <v>80</v>
      </c>
    </row>
    <row r="98" customFormat="false" ht="74.6" hidden="false" customHeight="false" outlineLevel="0" collapsed="false">
      <c r="A98" s="6" t="s">
        <v>1271</v>
      </c>
      <c r="B98" s="6" t="s">
        <v>1272</v>
      </c>
      <c r="C98" s="6" t="s">
        <v>1273</v>
      </c>
      <c r="D98" s="6" t="s">
        <v>1274</v>
      </c>
      <c r="E98" s="6" t="s">
        <v>17</v>
      </c>
      <c r="F98" s="6" t="s">
        <v>1275</v>
      </c>
      <c r="G98" s="6" t="s">
        <v>122</v>
      </c>
      <c r="H98" s="6" t="s">
        <v>1276</v>
      </c>
      <c r="I98" s="6" t="s">
        <v>1277</v>
      </c>
      <c r="J98" s="6" t="s">
        <v>1278</v>
      </c>
      <c r="K98" s="7" t="n">
        <v>46539</v>
      </c>
      <c r="L98" s="6" t="s">
        <v>68</v>
      </c>
      <c r="M98" s="7"/>
      <c r="N98" s="8" t="n">
        <f aca="false">IF(M98&lt;&gt;"",M98-Summary!$C$3,IF(K98="","",K98-Summary!$C$3))</f>
        <v>234</v>
      </c>
      <c r="O98" s="6" t="s">
        <v>4</v>
      </c>
      <c r="P98" s="6" t="s">
        <v>1279</v>
      </c>
      <c r="Q98" s="6" t="s">
        <v>89</v>
      </c>
      <c r="R98" s="6" t="s">
        <v>1280</v>
      </c>
      <c r="S98" s="6" t="s">
        <v>1281</v>
      </c>
      <c r="T98" s="6" t="s">
        <v>89</v>
      </c>
      <c r="U98" s="6" t="s">
        <v>89</v>
      </c>
      <c r="V98" s="6" t="s">
        <v>1282</v>
      </c>
      <c r="W98" s="6" t="s">
        <v>89</v>
      </c>
      <c r="X98" s="6" t="s">
        <v>1283</v>
      </c>
      <c r="Y98" s="6" t="s">
        <v>1284</v>
      </c>
      <c r="Z98" s="6" t="s">
        <v>79</v>
      </c>
      <c r="AA98" s="6" t="s">
        <v>194</v>
      </c>
    </row>
    <row r="99" customFormat="false" ht="32.8" hidden="false" customHeight="false" outlineLevel="0" collapsed="false">
      <c r="A99" s="6" t="s">
        <v>1285</v>
      </c>
      <c r="B99" s="6" t="s">
        <v>1285</v>
      </c>
      <c r="C99" s="6" t="s">
        <v>1286</v>
      </c>
      <c r="D99" s="6" t="s">
        <v>1287</v>
      </c>
      <c r="E99" s="6" t="s">
        <v>26</v>
      </c>
      <c r="F99" s="6" t="s">
        <v>834</v>
      </c>
      <c r="G99" s="6" t="s">
        <v>1288</v>
      </c>
      <c r="H99" s="6" t="s">
        <v>65</v>
      </c>
      <c r="I99" s="6" t="s">
        <v>1289</v>
      </c>
      <c r="J99" s="6" t="s">
        <v>1290</v>
      </c>
      <c r="K99" s="7" t="n">
        <v>47439</v>
      </c>
      <c r="L99" s="6" t="s">
        <v>68</v>
      </c>
      <c r="M99" s="7"/>
      <c r="N99" s="8" t="n">
        <f aca="false">IF(M99&lt;&gt;"",M99-Summary!$C$3,IF(K99="","",K99-Summary!$C$3))</f>
        <v>1134</v>
      </c>
      <c r="O99" s="6" t="s">
        <v>4</v>
      </c>
      <c r="P99" s="6" t="s">
        <v>150</v>
      </c>
      <c r="Q99" s="6" t="s">
        <v>1291</v>
      </c>
      <c r="R99" s="6" t="s">
        <v>1292</v>
      </c>
      <c r="S99" s="6" t="s">
        <v>1293</v>
      </c>
      <c r="T99" s="6" t="s">
        <v>89</v>
      </c>
      <c r="U99" s="6" t="s">
        <v>89</v>
      </c>
      <c r="V99" s="6" t="s">
        <v>89</v>
      </c>
      <c r="W99" s="6" t="s">
        <v>1294</v>
      </c>
      <c r="X99" s="6" t="s">
        <v>1295</v>
      </c>
      <c r="Y99" s="6" t="s">
        <v>1296</v>
      </c>
      <c r="Z99" s="6" t="s">
        <v>79</v>
      </c>
      <c r="AA99" s="6" t="s">
        <v>194</v>
      </c>
    </row>
    <row r="100" customFormat="false" ht="43.25" hidden="false" customHeight="false" outlineLevel="0" collapsed="false">
      <c r="A100" s="6" t="s">
        <v>1297</v>
      </c>
      <c r="B100" s="6" t="s">
        <v>1298</v>
      </c>
      <c r="C100" s="6" t="s">
        <v>1297</v>
      </c>
      <c r="D100" s="6" t="s">
        <v>1299</v>
      </c>
      <c r="E100" s="6" t="s">
        <v>21</v>
      </c>
      <c r="F100" s="6" t="s">
        <v>224</v>
      </c>
      <c r="G100" s="6" t="s">
        <v>553</v>
      </c>
      <c r="H100" s="6" t="s">
        <v>65</v>
      </c>
      <c r="I100" s="6" t="s">
        <v>1300</v>
      </c>
      <c r="J100" s="6" t="s">
        <v>1301</v>
      </c>
      <c r="K100" s="7" t="n">
        <v>46326</v>
      </c>
      <c r="L100" s="6" t="s">
        <v>68</v>
      </c>
      <c r="M100" s="7"/>
      <c r="N100" s="8" t="n">
        <f aca="false">IF(M100&lt;&gt;"",M100-Summary!$C$3,IF(K100="","",K100-Summary!$C$3))</f>
        <v>21</v>
      </c>
      <c r="O100" s="6" t="s">
        <v>4</v>
      </c>
      <c r="P100" s="6" t="s">
        <v>69</v>
      </c>
      <c r="Q100" s="6" t="s">
        <v>750</v>
      </c>
      <c r="R100" s="6" t="s">
        <v>1302</v>
      </c>
      <c r="S100" s="6" t="s">
        <v>1303</v>
      </c>
      <c r="T100" s="6" t="s">
        <v>1304</v>
      </c>
      <c r="U100" s="6" t="s">
        <v>1305</v>
      </c>
      <c r="V100" s="6" t="s">
        <v>89</v>
      </c>
      <c r="W100" s="6" t="s">
        <v>1306</v>
      </c>
      <c r="X100" s="6" t="s">
        <v>1307</v>
      </c>
      <c r="Y100" s="6" t="s">
        <v>1308</v>
      </c>
      <c r="Z100" s="6" t="s">
        <v>79</v>
      </c>
      <c r="AA100" s="6" t="s">
        <v>194</v>
      </c>
    </row>
    <row r="101" customFormat="false" ht="53.7" hidden="false" customHeight="false" outlineLevel="0" collapsed="false">
      <c r="A101" s="6" t="s">
        <v>1309</v>
      </c>
      <c r="B101" s="6" t="s">
        <v>1310</v>
      </c>
      <c r="C101" s="6" t="s">
        <v>1311</v>
      </c>
      <c r="D101" s="6" t="s">
        <v>1312</v>
      </c>
      <c r="E101" s="6" t="s">
        <v>21</v>
      </c>
      <c r="F101" s="6" t="s">
        <v>162</v>
      </c>
      <c r="G101" s="6" t="s">
        <v>122</v>
      </c>
      <c r="H101" s="6" t="s">
        <v>65</v>
      </c>
      <c r="I101" s="6" t="s">
        <v>1313</v>
      </c>
      <c r="J101" s="6" t="s">
        <v>1314</v>
      </c>
      <c r="K101" s="7" t="n">
        <v>46599</v>
      </c>
      <c r="L101" s="6" t="s">
        <v>68</v>
      </c>
      <c r="M101" s="7"/>
      <c r="N101" s="8" t="n">
        <f aca="false">IF(M101&lt;&gt;"",M101-Summary!$C$3,IF(K101="","",K101-Summary!$C$3))</f>
        <v>294</v>
      </c>
      <c r="O101" s="6" t="s">
        <v>4</v>
      </c>
      <c r="P101" s="6" t="s">
        <v>69</v>
      </c>
      <c r="Q101" s="6" t="s">
        <v>89</v>
      </c>
      <c r="R101" s="6" t="s">
        <v>1315</v>
      </c>
      <c r="S101" s="6" t="s">
        <v>1316</v>
      </c>
      <c r="T101" s="6" t="s">
        <v>1317</v>
      </c>
      <c r="U101" s="6" t="s">
        <v>89</v>
      </c>
      <c r="V101" s="6" t="s">
        <v>89</v>
      </c>
      <c r="W101" s="6" t="s">
        <v>1318</v>
      </c>
      <c r="X101" s="6" t="s">
        <v>1319</v>
      </c>
      <c r="Y101" s="6" t="s">
        <v>1320</v>
      </c>
      <c r="Z101" s="6" t="s">
        <v>128</v>
      </c>
      <c r="AA101" s="6" t="s">
        <v>80</v>
      </c>
    </row>
    <row r="102" customFormat="false" ht="53.7" hidden="false" customHeight="false" outlineLevel="0" collapsed="false">
      <c r="A102" s="6" t="s">
        <v>1321</v>
      </c>
      <c r="B102" s="6" t="s">
        <v>1322</v>
      </c>
      <c r="C102" s="6" t="s">
        <v>1323</v>
      </c>
      <c r="D102" s="6" t="s">
        <v>1324</v>
      </c>
      <c r="E102" s="6" t="s">
        <v>21</v>
      </c>
      <c r="F102" s="6" t="s">
        <v>1325</v>
      </c>
      <c r="G102" s="6" t="s">
        <v>1326</v>
      </c>
      <c r="H102" s="6" t="s">
        <v>65</v>
      </c>
      <c r="I102" s="6" t="s">
        <v>1327</v>
      </c>
      <c r="J102" s="6" t="s">
        <v>201</v>
      </c>
      <c r="K102" s="7" t="n">
        <v>47299</v>
      </c>
      <c r="L102" s="6" t="s">
        <v>68</v>
      </c>
      <c r="M102" s="7"/>
      <c r="N102" s="8" t="n">
        <f aca="false">IF(M102&lt;&gt;"",M102-Summary!$C$3,IF(K102="","",K102-Summary!$C$3))</f>
        <v>994</v>
      </c>
      <c r="O102" s="6" t="s">
        <v>4</v>
      </c>
      <c r="P102" s="6" t="s">
        <v>69</v>
      </c>
      <c r="Q102" s="6" t="s">
        <v>1328</v>
      </c>
      <c r="R102" s="6" t="s">
        <v>1329</v>
      </c>
      <c r="S102" s="6" t="s">
        <v>1330</v>
      </c>
      <c r="T102" s="6" t="s">
        <v>1331</v>
      </c>
      <c r="U102" s="6" t="s">
        <v>89</v>
      </c>
      <c r="V102" s="6" t="s">
        <v>1332</v>
      </c>
      <c r="W102" s="6" t="s">
        <v>1333</v>
      </c>
      <c r="X102" s="6" t="s">
        <v>1334</v>
      </c>
      <c r="Y102" s="6" t="s">
        <v>1335</v>
      </c>
      <c r="Z102" s="6" t="s">
        <v>128</v>
      </c>
      <c r="AA102" s="6" t="s">
        <v>194</v>
      </c>
    </row>
    <row r="103" customFormat="false" ht="32.8" hidden="false" customHeight="false" outlineLevel="0" collapsed="false">
      <c r="A103" s="6" t="s">
        <v>1336</v>
      </c>
      <c r="B103" s="6" t="s">
        <v>1337</v>
      </c>
      <c r="C103" s="6" t="s">
        <v>1336</v>
      </c>
      <c r="D103" s="6" t="s">
        <v>1338</v>
      </c>
      <c r="E103" s="6" t="s">
        <v>21</v>
      </c>
      <c r="F103" s="6" t="s">
        <v>147</v>
      </c>
      <c r="G103" s="6" t="s">
        <v>1339</v>
      </c>
      <c r="H103" s="6" t="s">
        <v>1340</v>
      </c>
      <c r="I103" s="6" t="s">
        <v>1341</v>
      </c>
      <c r="J103" s="6" t="s">
        <v>1342</v>
      </c>
      <c r="K103" s="7" t="n">
        <v>46507</v>
      </c>
      <c r="L103" s="6" t="s">
        <v>68</v>
      </c>
      <c r="M103" s="7"/>
      <c r="N103" s="8" t="n">
        <f aca="false">IF(M103&lt;&gt;"",M103-Summary!$C$3,IF(K103="","",K103-Summary!$C$3))</f>
        <v>202</v>
      </c>
      <c r="O103" s="6" t="s">
        <v>4</v>
      </c>
      <c r="P103" s="6" t="s">
        <v>1343</v>
      </c>
      <c r="Q103" s="6" t="s">
        <v>1344</v>
      </c>
      <c r="R103" s="6" t="s">
        <v>1345</v>
      </c>
      <c r="S103" s="6" t="s">
        <v>1346</v>
      </c>
      <c r="T103" s="6" t="s">
        <v>1347</v>
      </c>
      <c r="U103" s="6" t="s">
        <v>89</v>
      </c>
      <c r="V103" s="6" t="s">
        <v>1348</v>
      </c>
      <c r="W103" s="6" t="s">
        <v>1349</v>
      </c>
      <c r="X103" s="6" t="s">
        <v>1350</v>
      </c>
      <c r="Y103" s="6" t="s">
        <v>1351</v>
      </c>
      <c r="Z103" s="6" t="s">
        <v>79</v>
      </c>
      <c r="AA103" s="6" t="s">
        <v>80</v>
      </c>
    </row>
    <row r="104" customFormat="false" ht="43.25" hidden="false" customHeight="false" outlineLevel="0" collapsed="false">
      <c r="A104" s="6" t="s">
        <v>1336</v>
      </c>
      <c r="B104" s="6" t="s">
        <v>1352</v>
      </c>
      <c r="C104" s="6" t="s">
        <v>1336</v>
      </c>
      <c r="D104" s="6" t="s">
        <v>1353</v>
      </c>
      <c r="E104" s="6" t="s">
        <v>18</v>
      </c>
      <c r="F104" s="6" t="s">
        <v>147</v>
      </c>
      <c r="G104" s="6" t="s">
        <v>1354</v>
      </c>
      <c r="H104" s="6" t="s">
        <v>1355</v>
      </c>
      <c r="I104" s="6" t="s">
        <v>1356</v>
      </c>
      <c r="J104" s="6" t="s">
        <v>1342</v>
      </c>
      <c r="K104" s="7" t="n">
        <v>46507</v>
      </c>
      <c r="L104" s="6" t="s">
        <v>68</v>
      </c>
      <c r="M104" s="7"/>
      <c r="N104" s="8" t="n">
        <f aca="false">IF(M104&lt;&gt;"",M104-Summary!$C$3,IF(K104="","",K104-Summary!$C$3))</f>
        <v>202</v>
      </c>
      <c r="O104" s="6" t="s">
        <v>4</v>
      </c>
      <c r="P104" s="6" t="s">
        <v>1357</v>
      </c>
      <c r="Q104" s="6" t="s">
        <v>1358</v>
      </c>
      <c r="R104" s="6" t="s">
        <v>1359</v>
      </c>
      <c r="S104" s="6" t="s">
        <v>1360</v>
      </c>
      <c r="T104" s="6" t="s">
        <v>1361</v>
      </c>
      <c r="U104" s="6" t="s">
        <v>89</v>
      </c>
      <c r="V104" s="6" t="s">
        <v>89</v>
      </c>
      <c r="W104" s="6" t="s">
        <v>89</v>
      </c>
      <c r="X104" s="6" t="s">
        <v>89</v>
      </c>
      <c r="Y104" s="6" t="s">
        <v>1362</v>
      </c>
      <c r="Z104" s="6" t="s">
        <v>79</v>
      </c>
      <c r="AA104" s="6" t="s">
        <v>80</v>
      </c>
    </row>
    <row r="105" customFormat="false" ht="64.15" hidden="false" customHeight="false" outlineLevel="0" collapsed="false">
      <c r="A105" s="6" t="s">
        <v>1363</v>
      </c>
      <c r="B105" s="6" t="s">
        <v>1364</v>
      </c>
      <c r="C105" s="6" t="s">
        <v>1365</v>
      </c>
      <c r="D105" s="6" t="s">
        <v>1366</v>
      </c>
      <c r="E105" s="6" t="s">
        <v>26</v>
      </c>
      <c r="F105" s="6" t="s">
        <v>454</v>
      </c>
      <c r="G105" s="6" t="s">
        <v>1367</v>
      </c>
      <c r="H105" s="6" t="s">
        <v>1082</v>
      </c>
      <c r="I105" s="6" t="s">
        <v>1368</v>
      </c>
      <c r="J105" s="6" t="s">
        <v>1369</v>
      </c>
      <c r="K105" s="7" t="n">
        <v>46543</v>
      </c>
      <c r="L105" s="6" t="s">
        <v>68</v>
      </c>
      <c r="M105" s="7"/>
      <c r="N105" s="8" t="n">
        <f aca="false">IF(M105&lt;&gt;"",M105-Summary!$C$3,IF(K105="","",K105-Summary!$C$3))</f>
        <v>238</v>
      </c>
      <c r="O105" s="6" t="s">
        <v>4</v>
      </c>
      <c r="P105" s="6" t="s">
        <v>1370</v>
      </c>
      <c r="Q105" s="6" t="s">
        <v>1371</v>
      </c>
      <c r="R105" s="6" t="s">
        <v>1372</v>
      </c>
      <c r="S105" s="6" t="s">
        <v>1373</v>
      </c>
      <c r="T105" s="6" t="s">
        <v>1374</v>
      </c>
      <c r="U105" s="6" t="s">
        <v>89</v>
      </c>
      <c r="V105" s="6" t="s">
        <v>1375</v>
      </c>
      <c r="W105" s="6" t="s">
        <v>1376</v>
      </c>
      <c r="X105" s="6" t="s">
        <v>1377</v>
      </c>
      <c r="Y105" s="6" t="s">
        <v>1378</v>
      </c>
      <c r="Z105" s="6" t="s">
        <v>79</v>
      </c>
      <c r="AA105" s="6" t="s">
        <v>80</v>
      </c>
    </row>
    <row r="106" customFormat="false" ht="53.7" hidden="false" customHeight="false" outlineLevel="0" collapsed="false">
      <c r="A106" s="6" t="s">
        <v>1379</v>
      </c>
      <c r="B106" s="6" t="s">
        <v>1379</v>
      </c>
      <c r="C106" s="6" t="s">
        <v>1380</v>
      </c>
      <c r="D106" s="6" t="s">
        <v>1381</v>
      </c>
      <c r="E106" s="6" t="s">
        <v>21</v>
      </c>
      <c r="F106" s="6" t="s">
        <v>1382</v>
      </c>
      <c r="G106" s="6" t="s">
        <v>1383</v>
      </c>
      <c r="H106" s="6" t="s">
        <v>65</v>
      </c>
      <c r="I106" s="6" t="s">
        <v>1384</v>
      </c>
      <c r="J106" s="6" t="s">
        <v>1385</v>
      </c>
      <c r="K106" s="7" t="n">
        <v>44862</v>
      </c>
      <c r="L106" s="6" t="s">
        <v>68</v>
      </c>
      <c r="M106" s="7" t="n">
        <v>46323</v>
      </c>
      <c r="N106" s="8" t="n">
        <f aca="false">IF(M106&lt;&gt;"",M106-Summary!$C$3,IF(K106="","",K106-Summary!$C$3))</f>
        <v>18</v>
      </c>
      <c r="O106" s="6" t="s">
        <v>4</v>
      </c>
      <c r="P106" s="6" t="s">
        <v>69</v>
      </c>
      <c r="Q106" s="6" t="s">
        <v>750</v>
      </c>
      <c r="R106" s="6" t="s">
        <v>1386</v>
      </c>
      <c r="S106" s="6" t="s">
        <v>1387</v>
      </c>
      <c r="T106" s="6" t="s">
        <v>89</v>
      </c>
      <c r="U106" s="6" t="s">
        <v>89</v>
      </c>
      <c r="V106" s="6" t="s">
        <v>1388</v>
      </c>
      <c r="W106" s="6" t="s">
        <v>754</v>
      </c>
      <c r="X106" s="6" t="s">
        <v>1389</v>
      </c>
      <c r="Y106" s="6" t="s">
        <v>1390</v>
      </c>
      <c r="Z106" s="6" t="s">
        <v>128</v>
      </c>
      <c r="AA106" s="6" t="s">
        <v>194</v>
      </c>
    </row>
    <row r="107" customFormat="false" ht="53.7" hidden="false" customHeight="false" outlineLevel="0" collapsed="false">
      <c r="A107" s="6" t="s">
        <v>1391</v>
      </c>
      <c r="B107" s="6" t="s">
        <v>1392</v>
      </c>
      <c r="C107" s="6" t="s">
        <v>1391</v>
      </c>
      <c r="D107" s="6" t="s">
        <v>1393</v>
      </c>
      <c r="E107" s="6" t="s">
        <v>26</v>
      </c>
      <c r="F107" s="6" t="s">
        <v>224</v>
      </c>
      <c r="G107" s="6" t="s">
        <v>682</v>
      </c>
      <c r="H107" s="6" t="s">
        <v>226</v>
      </c>
      <c r="I107" s="6" t="s">
        <v>1394</v>
      </c>
      <c r="J107" s="6" t="s">
        <v>1395</v>
      </c>
      <c r="K107" s="7" t="n">
        <v>47269</v>
      </c>
      <c r="L107" s="6" t="s">
        <v>68</v>
      </c>
      <c r="M107" s="7"/>
      <c r="N107" s="8" t="n">
        <f aca="false">IF(M107&lt;&gt;"",M107-Summary!$C$3,IF(K107="","",K107-Summary!$C$3))</f>
        <v>964</v>
      </c>
      <c r="O107" s="6" t="s">
        <v>4</v>
      </c>
      <c r="P107" s="6" t="s">
        <v>1396</v>
      </c>
      <c r="Q107" s="6" t="s">
        <v>1397</v>
      </c>
      <c r="R107" s="6" t="s">
        <v>1398</v>
      </c>
      <c r="S107" s="6" t="s">
        <v>1399</v>
      </c>
      <c r="T107" s="6" t="s">
        <v>89</v>
      </c>
      <c r="U107" s="6" t="s">
        <v>1400</v>
      </c>
      <c r="V107" s="6" t="s">
        <v>1401</v>
      </c>
      <c r="W107" s="6" t="s">
        <v>1402</v>
      </c>
      <c r="X107" s="6" t="s">
        <v>1403</v>
      </c>
      <c r="Y107" s="6" t="s">
        <v>1404</v>
      </c>
      <c r="Z107" s="6" t="s">
        <v>79</v>
      </c>
      <c r="AA107" s="6" t="s">
        <v>80</v>
      </c>
    </row>
    <row r="108" customFormat="false" ht="53.7" hidden="false" customHeight="false" outlineLevel="0" collapsed="false">
      <c r="A108" s="6" t="s">
        <v>1405</v>
      </c>
      <c r="B108" s="6" t="s">
        <v>1406</v>
      </c>
      <c r="C108" s="6" t="s">
        <v>1407</v>
      </c>
      <c r="D108" s="6" t="s">
        <v>1408</v>
      </c>
      <c r="E108" s="6" t="s">
        <v>19</v>
      </c>
      <c r="F108" s="6" t="s">
        <v>224</v>
      </c>
      <c r="G108" s="6" t="s">
        <v>1409</v>
      </c>
      <c r="H108" s="6" t="s">
        <v>344</v>
      </c>
      <c r="I108" s="6" t="s">
        <v>1410</v>
      </c>
      <c r="J108" s="6" t="s">
        <v>1411</v>
      </c>
      <c r="K108" s="7" t="n">
        <v>42978</v>
      </c>
      <c r="L108" s="6" t="s">
        <v>68</v>
      </c>
      <c r="M108" s="7" t="n">
        <v>46630</v>
      </c>
      <c r="N108" s="8" t="n">
        <f aca="false">IF(M108&lt;&gt;"",M108-Summary!$C$3,IF(K108="","",K108-Summary!$C$3))</f>
        <v>325</v>
      </c>
      <c r="O108" s="6" t="s">
        <v>4</v>
      </c>
      <c r="P108" s="6" t="s">
        <v>69</v>
      </c>
      <c r="Q108" s="6" t="s">
        <v>134</v>
      </c>
      <c r="R108" s="6" t="s">
        <v>1412</v>
      </c>
      <c r="S108" s="6" t="s">
        <v>1413</v>
      </c>
      <c r="T108" s="6" t="s">
        <v>1414</v>
      </c>
      <c r="U108" s="6" t="s">
        <v>1415</v>
      </c>
      <c r="V108" s="6" t="s">
        <v>1416</v>
      </c>
      <c r="W108" s="6" t="s">
        <v>1417</v>
      </c>
      <c r="X108" s="6" t="s">
        <v>1418</v>
      </c>
      <c r="Y108" s="6" t="s">
        <v>1419</v>
      </c>
      <c r="Z108" s="6" t="s">
        <v>128</v>
      </c>
      <c r="AA108" s="6" t="s">
        <v>194</v>
      </c>
    </row>
    <row r="109" customFormat="false" ht="53.7" hidden="false" customHeight="false" outlineLevel="0" collapsed="false">
      <c r="A109" s="6" t="s">
        <v>1420</v>
      </c>
      <c r="B109" s="6" t="s">
        <v>1421</v>
      </c>
      <c r="C109" s="6" t="s">
        <v>1407</v>
      </c>
      <c r="D109" s="6" t="s">
        <v>1422</v>
      </c>
      <c r="E109" s="6" t="s">
        <v>17</v>
      </c>
      <c r="F109" s="6" t="s">
        <v>427</v>
      </c>
      <c r="G109" s="6" t="s">
        <v>122</v>
      </c>
      <c r="H109" s="6" t="s">
        <v>1423</v>
      </c>
      <c r="I109" s="6" t="s">
        <v>1424</v>
      </c>
      <c r="J109" s="6" t="s">
        <v>1425</v>
      </c>
      <c r="K109" s="7" t="n">
        <v>41883</v>
      </c>
      <c r="L109" s="6" t="s">
        <v>68</v>
      </c>
      <c r="M109" s="7"/>
      <c r="N109" s="8" t="n">
        <f aca="false">IF(M109&lt;&gt;"",M109-Summary!$C$3,IF(K109="","",K109-Summary!$C$3))</f>
        <v>-4422</v>
      </c>
      <c r="O109" s="6" t="s">
        <v>4</v>
      </c>
      <c r="P109" s="6" t="s">
        <v>89</v>
      </c>
      <c r="Q109" s="6" t="s">
        <v>89</v>
      </c>
      <c r="R109" s="6" t="s">
        <v>89</v>
      </c>
      <c r="S109" s="6" t="s">
        <v>1426</v>
      </c>
      <c r="T109" s="6" t="s">
        <v>89</v>
      </c>
      <c r="U109" s="6" t="s">
        <v>89</v>
      </c>
      <c r="V109" s="6" t="s">
        <v>1427</v>
      </c>
      <c r="W109" s="6" t="s">
        <v>89</v>
      </c>
      <c r="X109" s="6" t="s">
        <v>89</v>
      </c>
      <c r="Y109" s="6" t="s">
        <v>1428</v>
      </c>
      <c r="Z109" s="6" t="s">
        <v>128</v>
      </c>
      <c r="AA109" s="6" t="s">
        <v>80</v>
      </c>
    </row>
    <row r="110" customFormat="false" ht="53.7" hidden="false" customHeight="false" outlineLevel="0" collapsed="false">
      <c r="A110" s="6" t="s">
        <v>1429</v>
      </c>
      <c r="B110" s="6" t="s">
        <v>1406</v>
      </c>
      <c r="C110" s="6" t="s">
        <v>1430</v>
      </c>
      <c r="D110" s="6" t="s">
        <v>1431</v>
      </c>
      <c r="E110" s="6" t="s">
        <v>19</v>
      </c>
      <c r="F110" s="6" t="s">
        <v>1053</v>
      </c>
      <c r="G110" s="6" t="s">
        <v>1432</v>
      </c>
      <c r="H110" s="6" t="s">
        <v>344</v>
      </c>
      <c r="I110" s="6" t="s">
        <v>1433</v>
      </c>
      <c r="J110" s="6" t="s">
        <v>1434</v>
      </c>
      <c r="K110" s="7" t="n">
        <v>43691</v>
      </c>
      <c r="L110" s="6" t="s">
        <v>68</v>
      </c>
      <c r="M110" s="7" t="n">
        <v>46613</v>
      </c>
      <c r="N110" s="8" t="n">
        <f aca="false">IF(M110&lt;&gt;"",M110-Summary!$C$3,IF(K110="","",K110-Summary!$C$3))</f>
        <v>308</v>
      </c>
      <c r="O110" s="6" t="s">
        <v>4</v>
      </c>
      <c r="P110" s="6" t="s">
        <v>69</v>
      </c>
      <c r="Q110" s="6" t="s">
        <v>1435</v>
      </c>
      <c r="R110" s="6" t="s">
        <v>1436</v>
      </c>
      <c r="S110" s="6" t="s">
        <v>1437</v>
      </c>
      <c r="T110" s="6" t="s">
        <v>89</v>
      </c>
      <c r="U110" s="6" t="s">
        <v>1438</v>
      </c>
      <c r="V110" s="6" t="s">
        <v>1439</v>
      </c>
      <c r="W110" s="6" t="s">
        <v>1440</v>
      </c>
      <c r="X110" s="6" t="s">
        <v>1441</v>
      </c>
      <c r="Y110" s="6" t="s">
        <v>1442</v>
      </c>
      <c r="Z110" s="6" t="s">
        <v>128</v>
      </c>
      <c r="AA110" s="6" t="s">
        <v>194</v>
      </c>
    </row>
    <row r="111" customFormat="false" ht="53.7" hidden="false" customHeight="false" outlineLevel="0" collapsed="false">
      <c r="A111" s="6" t="s">
        <v>1443</v>
      </c>
      <c r="B111" s="6" t="s">
        <v>1444</v>
      </c>
      <c r="C111" s="6" t="s">
        <v>1445</v>
      </c>
      <c r="D111" s="6" t="s">
        <v>1446</v>
      </c>
      <c r="E111" s="6" t="s">
        <v>21</v>
      </c>
      <c r="F111" s="6" t="s">
        <v>147</v>
      </c>
      <c r="G111" s="6" t="s">
        <v>122</v>
      </c>
      <c r="H111" s="6" t="s">
        <v>1447</v>
      </c>
      <c r="I111" s="6" t="s">
        <v>1448</v>
      </c>
      <c r="J111" s="6" t="s">
        <v>1449</v>
      </c>
      <c r="K111" s="7" t="n">
        <v>46443</v>
      </c>
      <c r="L111" s="6" t="s">
        <v>68</v>
      </c>
      <c r="M111" s="7"/>
      <c r="N111" s="8" t="n">
        <f aca="false">IF(M111&lt;&gt;"",M111-Summary!$C$3,IF(K111="","",K111-Summary!$C$3))</f>
        <v>138</v>
      </c>
      <c r="O111" s="6" t="s">
        <v>4</v>
      </c>
      <c r="P111" s="6" t="s">
        <v>69</v>
      </c>
      <c r="Q111" s="6" t="s">
        <v>1450</v>
      </c>
      <c r="R111" s="6" t="s">
        <v>1451</v>
      </c>
      <c r="S111" s="6" t="s">
        <v>1452</v>
      </c>
      <c r="T111" s="6" t="s">
        <v>1453</v>
      </c>
      <c r="U111" s="6" t="s">
        <v>89</v>
      </c>
      <c r="V111" s="6" t="s">
        <v>1454</v>
      </c>
      <c r="W111" s="6" t="s">
        <v>1455</v>
      </c>
      <c r="X111" s="6" t="s">
        <v>1456</v>
      </c>
      <c r="Y111" s="6" t="s">
        <v>1457</v>
      </c>
      <c r="Z111" s="6" t="s">
        <v>79</v>
      </c>
      <c r="AA111" s="6" t="s">
        <v>194</v>
      </c>
    </row>
    <row r="112" customFormat="false" ht="53.7" hidden="false" customHeight="false" outlineLevel="0" collapsed="false">
      <c r="A112" s="6" t="s">
        <v>1458</v>
      </c>
      <c r="B112" s="6" t="s">
        <v>1459</v>
      </c>
      <c r="C112" s="6" t="s">
        <v>1460</v>
      </c>
      <c r="D112" s="6" t="s">
        <v>1461</v>
      </c>
      <c r="E112" s="6" t="s">
        <v>21</v>
      </c>
      <c r="F112" s="6" t="s">
        <v>162</v>
      </c>
      <c r="G112" s="6" t="s">
        <v>1462</v>
      </c>
      <c r="H112" s="6" t="s">
        <v>344</v>
      </c>
      <c r="I112" s="6" t="s">
        <v>1463</v>
      </c>
      <c r="J112" s="6" t="s">
        <v>1464</v>
      </c>
      <c r="K112" s="7" t="n">
        <v>44662</v>
      </c>
      <c r="L112" s="6" t="s">
        <v>68</v>
      </c>
      <c r="M112" s="7" t="n">
        <v>46488</v>
      </c>
      <c r="N112" s="8" t="n">
        <f aca="false">IF(M112&lt;&gt;"",M112-Summary!$C$3,IF(K112="","",K112-Summary!$C$3))</f>
        <v>183</v>
      </c>
      <c r="O112" s="6" t="s">
        <v>4</v>
      </c>
      <c r="P112" s="6" t="s">
        <v>69</v>
      </c>
      <c r="Q112" s="6" t="s">
        <v>1465</v>
      </c>
      <c r="R112" s="6" t="s">
        <v>1466</v>
      </c>
      <c r="S112" s="6" t="s">
        <v>1467</v>
      </c>
      <c r="T112" s="6" t="s">
        <v>89</v>
      </c>
      <c r="U112" s="6" t="s">
        <v>1468</v>
      </c>
      <c r="V112" s="6" t="s">
        <v>110</v>
      </c>
      <c r="W112" s="6" t="s">
        <v>1469</v>
      </c>
      <c r="X112" s="6" t="s">
        <v>1470</v>
      </c>
      <c r="Y112" s="6" t="s">
        <v>1471</v>
      </c>
      <c r="Z112" s="6" t="s">
        <v>128</v>
      </c>
      <c r="AA112" s="6" t="s">
        <v>194</v>
      </c>
    </row>
    <row r="113" customFormat="false" ht="43.25" hidden="false" customHeight="false" outlineLevel="0" collapsed="false">
      <c r="A113" s="6" t="s">
        <v>1458</v>
      </c>
      <c r="B113" s="6" t="s">
        <v>1472</v>
      </c>
      <c r="C113" s="6" t="s">
        <v>1460</v>
      </c>
      <c r="D113" s="6" t="s">
        <v>1473</v>
      </c>
      <c r="E113" s="6" t="s">
        <v>17</v>
      </c>
      <c r="F113" s="6" t="s">
        <v>63</v>
      </c>
      <c r="G113" s="6" t="s">
        <v>1474</v>
      </c>
      <c r="H113" s="6" t="s">
        <v>1475</v>
      </c>
      <c r="I113" s="6" t="s">
        <v>1476</v>
      </c>
      <c r="J113" s="6" t="s">
        <v>1477</v>
      </c>
      <c r="K113" s="7" t="n">
        <v>46812</v>
      </c>
      <c r="L113" s="6" t="s">
        <v>68</v>
      </c>
      <c r="M113" s="7"/>
      <c r="N113" s="8" t="n">
        <f aca="false">IF(M113&lt;&gt;"",M113-Summary!$C$3,IF(K113="","",K113-Summary!$C$3))</f>
        <v>507</v>
      </c>
      <c r="O113" s="6" t="s">
        <v>4</v>
      </c>
      <c r="P113" s="6" t="s">
        <v>69</v>
      </c>
      <c r="Q113" s="6" t="s">
        <v>134</v>
      </c>
      <c r="R113" s="6" t="s">
        <v>1478</v>
      </c>
      <c r="S113" s="6" t="s">
        <v>1479</v>
      </c>
      <c r="T113" s="6" t="s">
        <v>89</v>
      </c>
      <c r="U113" s="6" t="s">
        <v>89</v>
      </c>
      <c r="V113" s="6" t="s">
        <v>89</v>
      </c>
      <c r="W113" s="6" t="s">
        <v>89</v>
      </c>
      <c r="X113" s="6" t="s">
        <v>89</v>
      </c>
      <c r="Y113" s="6" t="s">
        <v>1480</v>
      </c>
      <c r="Z113" s="6" t="s">
        <v>128</v>
      </c>
      <c r="AA113" s="6" t="s">
        <v>80</v>
      </c>
    </row>
    <row r="114" customFormat="false" ht="53.7" hidden="false" customHeight="false" outlineLevel="0" collapsed="false">
      <c r="A114" s="6" t="s">
        <v>1458</v>
      </c>
      <c r="B114" s="6" t="s">
        <v>1481</v>
      </c>
      <c r="C114" s="6" t="s">
        <v>1482</v>
      </c>
      <c r="D114" s="6" t="s">
        <v>1483</v>
      </c>
      <c r="E114" s="6" t="s">
        <v>17</v>
      </c>
      <c r="F114" s="6" t="s">
        <v>224</v>
      </c>
      <c r="G114" s="6" t="s">
        <v>1484</v>
      </c>
      <c r="H114" s="6" t="s">
        <v>1485</v>
      </c>
      <c r="I114" s="6" t="s">
        <v>1486</v>
      </c>
      <c r="J114" s="6" t="s">
        <v>1487</v>
      </c>
      <c r="K114" s="7" t="n">
        <v>46891</v>
      </c>
      <c r="L114" s="6" t="s">
        <v>68</v>
      </c>
      <c r="M114" s="7"/>
      <c r="N114" s="8" t="n">
        <f aca="false">IF(M114&lt;&gt;"",M114-Summary!$C$3,IF(K114="","",K114-Summary!$C$3))</f>
        <v>586</v>
      </c>
      <c r="O114" s="6" t="s">
        <v>4</v>
      </c>
      <c r="P114" s="6" t="s">
        <v>69</v>
      </c>
      <c r="Q114" s="6" t="s">
        <v>134</v>
      </c>
      <c r="R114" s="6" t="s">
        <v>932</v>
      </c>
      <c r="S114" s="6" t="s">
        <v>1488</v>
      </c>
      <c r="T114" s="6" t="s">
        <v>89</v>
      </c>
      <c r="U114" s="6" t="s">
        <v>89</v>
      </c>
      <c r="V114" s="6" t="s">
        <v>89</v>
      </c>
      <c r="W114" s="6" t="s">
        <v>89</v>
      </c>
      <c r="X114" s="6" t="s">
        <v>89</v>
      </c>
      <c r="Y114" s="6" t="s">
        <v>1489</v>
      </c>
      <c r="Z114" s="6" t="s">
        <v>128</v>
      </c>
      <c r="AA114" s="6" t="s">
        <v>80</v>
      </c>
    </row>
    <row r="115" customFormat="false" ht="53.7" hidden="false" customHeight="false" outlineLevel="0" collapsed="false">
      <c r="A115" s="6" t="s">
        <v>1490</v>
      </c>
      <c r="B115" s="6" t="s">
        <v>1490</v>
      </c>
      <c r="C115" s="6" t="s">
        <v>1491</v>
      </c>
      <c r="D115" s="6" t="s">
        <v>1492</v>
      </c>
      <c r="E115" s="6" t="s">
        <v>20</v>
      </c>
      <c r="F115" s="6" t="s">
        <v>147</v>
      </c>
      <c r="G115" s="6" t="s">
        <v>1493</v>
      </c>
      <c r="H115" s="6" t="s">
        <v>65</v>
      </c>
      <c r="I115" s="6" t="s">
        <v>1494</v>
      </c>
      <c r="J115" s="6" t="s">
        <v>1495</v>
      </c>
      <c r="K115" s="7" t="n">
        <v>47336</v>
      </c>
      <c r="L115" s="6" t="s">
        <v>68</v>
      </c>
      <c r="M115" s="7"/>
      <c r="N115" s="8" t="n">
        <f aca="false">IF(M115&lt;&gt;"",M115-Summary!$C$3,IF(K115="","",K115-Summary!$C$3))</f>
        <v>1031</v>
      </c>
      <c r="O115" s="6" t="s">
        <v>4</v>
      </c>
      <c r="P115" s="6" t="s">
        <v>69</v>
      </c>
      <c r="Q115" s="6" t="s">
        <v>110</v>
      </c>
      <c r="R115" s="6" t="s">
        <v>1478</v>
      </c>
      <c r="S115" s="6" t="s">
        <v>1496</v>
      </c>
      <c r="T115" s="6" t="s">
        <v>1497</v>
      </c>
      <c r="U115" s="6" t="s">
        <v>1498</v>
      </c>
      <c r="V115" s="6" t="s">
        <v>1499</v>
      </c>
      <c r="W115" s="6" t="s">
        <v>1500</v>
      </c>
      <c r="X115" s="6" t="s">
        <v>1501</v>
      </c>
      <c r="Y115" s="6" t="s">
        <v>1502</v>
      </c>
      <c r="Z115" s="6" t="s">
        <v>79</v>
      </c>
      <c r="AA115" s="6" t="s">
        <v>194</v>
      </c>
    </row>
    <row r="116" customFormat="false" ht="53.7" hidden="false" customHeight="false" outlineLevel="0" collapsed="false">
      <c r="A116" s="6" t="s">
        <v>1503</v>
      </c>
      <c r="B116" s="6" t="s">
        <v>1504</v>
      </c>
      <c r="C116" s="6" t="s">
        <v>1505</v>
      </c>
      <c r="D116" s="6" t="s">
        <v>1506</v>
      </c>
      <c r="E116" s="6" t="s">
        <v>21</v>
      </c>
      <c r="F116" s="6" t="s">
        <v>162</v>
      </c>
      <c r="G116" s="6" t="s">
        <v>122</v>
      </c>
      <c r="H116" s="6" t="s">
        <v>65</v>
      </c>
      <c r="I116" s="6" t="s">
        <v>1507</v>
      </c>
      <c r="J116" s="6" t="s">
        <v>133</v>
      </c>
      <c r="K116" s="7" t="n">
        <v>47208</v>
      </c>
      <c r="L116" s="6" t="s">
        <v>68</v>
      </c>
      <c r="M116" s="7"/>
      <c r="N116" s="8" t="n">
        <f aca="false">IF(M116&lt;&gt;"",M116-Summary!$C$3,IF(K116="","",K116-Summary!$C$3))</f>
        <v>903</v>
      </c>
      <c r="O116" s="6" t="s">
        <v>4</v>
      </c>
      <c r="P116" s="6" t="s">
        <v>150</v>
      </c>
      <c r="Q116" s="6" t="s">
        <v>134</v>
      </c>
      <c r="R116" s="6" t="s">
        <v>326</v>
      </c>
      <c r="S116" s="6" t="s">
        <v>1508</v>
      </c>
      <c r="T116" s="6" t="s">
        <v>89</v>
      </c>
      <c r="U116" s="6" t="s">
        <v>1509</v>
      </c>
      <c r="V116" s="6" t="s">
        <v>1510</v>
      </c>
      <c r="W116" s="6" t="s">
        <v>1511</v>
      </c>
      <c r="X116" s="6" t="s">
        <v>1512</v>
      </c>
      <c r="Y116" s="6" t="s">
        <v>1513</v>
      </c>
      <c r="Z116" s="6" t="s">
        <v>79</v>
      </c>
      <c r="AA116" s="6" t="s">
        <v>80</v>
      </c>
    </row>
    <row r="117" customFormat="false" ht="43.25" hidden="false" customHeight="false" outlineLevel="0" collapsed="false">
      <c r="A117" s="6" t="s">
        <v>1503</v>
      </c>
      <c r="B117" s="6" t="s">
        <v>1514</v>
      </c>
      <c r="C117" s="6" t="s">
        <v>1505</v>
      </c>
      <c r="D117" s="6" t="s">
        <v>1515</v>
      </c>
      <c r="E117" s="6" t="s">
        <v>21</v>
      </c>
      <c r="F117" s="6" t="s">
        <v>162</v>
      </c>
      <c r="G117" s="6" t="s">
        <v>122</v>
      </c>
      <c r="H117" s="6" t="s">
        <v>65</v>
      </c>
      <c r="I117" s="6" t="s">
        <v>1516</v>
      </c>
      <c r="J117" s="6" t="s">
        <v>1517</v>
      </c>
      <c r="K117" s="7" t="n">
        <v>47254</v>
      </c>
      <c r="L117" s="6" t="s">
        <v>68</v>
      </c>
      <c r="M117" s="7"/>
      <c r="N117" s="8" t="n">
        <f aca="false">IF(M117&lt;&gt;"",M117-Summary!$C$3,IF(K117="","",K117-Summary!$C$3))</f>
        <v>949</v>
      </c>
      <c r="O117" s="6" t="s">
        <v>4</v>
      </c>
      <c r="P117" s="6" t="s">
        <v>150</v>
      </c>
      <c r="Q117" s="6" t="s">
        <v>1225</v>
      </c>
      <c r="R117" s="6" t="s">
        <v>1518</v>
      </c>
      <c r="S117" s="6" t="s">
        <v>1519</v>
      </c>
      <c r="T117" s="6" t="s">
        <v>89</v>
      </c>
      <c r="U117" s="6" t="s">
        <v>110</v>
      </c>
      <c r="V117" s="6" t="s">
        <v>1520</v>
      </c>
      <c r="W117" s="6" t="s">
        <v>1521</v>
      </c>
      <c r="X117" s="6" t="s">
        <v>1522</v>
      </c>
      <c r="Y117" s="6" t="s">
        <v>1523</v>
      </c>
      <c r="Z117" s="6" t="s">
        <v>79</v>
      </c>
      <c r="AA117" s="6" t="s">
        <v>194</v>
      </c>
    </row>
    <row r="118" customFormat="false" ht="74.6" hidden="false" customHeight="false" outlineLevel="0" collapsed="false">
      <c r="A118" s="6" t="s">
        <v>1524</v>
      </c>
      <c r="B118" s="6" t="s">
        <v>1525</v>
      </c>
      <c r="C118" s="6" t="s">
        <v>1526</v>
      </c>
      <c r="D118" s="6" t="s">
        <v>1527</v>
      </c>
      <c r="E118" s="6" t="s">
        <v>18</v>
      </c>
      <c r="F118" s="6" t="s">
        <v>63</v>
      </c>
      <c r="G118" s="6" t="s">
        <v>1528</v>
      </c>
      <c r="H118" s="6" t="s">
        <v>1082</v>
      </c>
      <c r="I118" s="6" t="s">
        <v>1529</v>
      </c>
      <c r="J118" s="6" t="s">
        <v>1530</v>
      </c>
      <c r="K118" s="7" t="n">
        <v>47057</v>
      </c>
      <c r="L118" s="6" t="s">
        <v>68</v>
      </c>
      <c r="M118" s="7"/>
      <c r="N118" s="8" t="n">
        <f aca="false">IF(M118&lt;&gt;"",M118-Summary!$C$3,IF(K118="","",K118-Summary!$C$3))</f>
        <v>752</v>
      </c>
      <c r="O118" s="6" t="s">
        <v>4</v>
      </c>
      <c r="P118" s="6" t="s">
        <v>1531</v>
      </c>
      <c r="Q118" s="6" t="s">
        <v>89</v>
      </c>
      <c r="R118" s="6" t="s">
        <v>1532</v>
      </c>
      <c r="S118" s="6" t="s">
        <v>1533</v>
      </c>
      <c r="T118" s="6" t="s">
        <v>89</v>
      </c>
      <c r="U118" s="6" t="s">
        <v>89</v>
      </c>
      <c r="V118" s="6" t="s">
        <v>89</v>
      </c>
      <c r="W118" s="6" t="s">
        <v>89</v>
      </c>
      <c r="X118" s="6" t="s">
        <v>1534</v>
      </c>
      <c r="Y118" s="6" t="s">
        <v>1535</v>
      </c>
      <c r="Z118" s="6" t="s">
        <v>79</v>
      </c>
      <c r="AA118" s="6" t="s">
        <v>194</v>
      </c>
    </row>
    <row r="119" customFormat="false" ht="43.25" hidden="false" customHeight="false" outlineLevel="0" collapsed="false">
      <c r="A119" s="6" t="s">
        <v>1536</v>
      </c>
      <c r="B119" s="6" t="s">
        <v>1537</v>
      </c>
      <c r="C119" s="6" t="s">
        <v>1538</v>
      </c>
      <c r="D119" s="6" t="s">
        <v>1539</v>
      </c>
      <c r="E119" s="6" t="s">
        <v>24</v>
      </c>
      <c r="F119" s="6" t="s">
        <v>147</v>
      </c>
      <c r="G119" s="6" t="s">
        <v>1540</v>
      </c>
      <c r="H119" s="6" t="s">
        <v>65</v>
      </c>
      <c r="I119" s="6" t="s">
        <v>1541</v>
      </c>
      <c r="J119" s="6" t="s">
        <v>1542</v>
      </c>
      <c r="K119" s="7" t="n">
        <v>46447</v>
      </c>
      <c r="L119" s="6" t="s">
        <v>68</v>
      </c>
      <c r="M119" s="7"/>
      <c r="N119" s="8" t="n">
        <f aca="false">IF(M119&lt;&gt;"",M119-Summary!$C$3,IF(K119="","",K119-Summary!$C$3))</f>
        <v>142</v>
      </c>
      <c r="O119" s="6" t="s">
        <v>4</v>
      </c>
      <c r="P119" s="6" t="s">
        <v>1543</v>
      </c>
      <c r="Q119" s="6" t="s">
        <v>1544</v>
      </c>
      <c r="R119" s="6" t="s">
        <v>1545</v>
      </c>
      <c r="S119" s="6" t="s">
        <v>1546</v>
      </c>
      <c r="T119" s="6" t="s">
        <v>1547</v>
      </c>
      <c r="U119" s="6" t="s">
        <v>216</v>
      </c>
      <c r="V119" s="6" t="s">
        <v>1548</v>
      </c>
      <c r="W119" s="6" t="s">
        <v>1549</v>
      </c>
      <c r="X119" s="6" t="s">
        <v>1550</v>
      </c>
      <c r="Y119" s="6" t="s">
        <v>1551</v>
      </c>
      <c r="Z119" s="6" t="s">
        <v>79</v>
      </c>
      <c r="AA119" s="6" t="s">
        <v>80</v>
      </c>
    </row>
    <row r="120" customFormat="false" ht="43.25" hidden="false" customHeight="false" outlineLevel="0" collapsed="false">
      <c r="A120" s="6" t="s">
        <v>1552</v>
      </c>
      <c r="B120" s="6" t="s">
        <v>1553</v>
      </c>
      <c r="C120" s="6" t="s">
        <v>1554</v>
      </c>
      <c r="D120" s="6" t="s">
        <v>1555</v>
      </c>
      <c r="E120" s="6" t="s">
        <v>18</v>
      </c>
      <c r="F120" s="6" t="s">
        <v>84</v>
      </c>
      <c r="G120" s="6" t="s">
        <v>1556</v>
      </c>
      <c r="H120" s="6" t="s">
        <v>1557</v>
      </c>
      <c r="I120" s="6" t="s">
        <v>1558</v>
      </c>
      <c r="J120" s="6" t="s">
        <v>1559</v>
      </c>
      <c r="K120" s="7" t="n">
        <v>47191</v>
      </c>
      <c r="L120" s="6" t="s">
        <v>68</v>
      </c>
      <c r="M120" s="7"/>
      <c r="N120" s="8" t="n">
        <f aca="false">IF(M120&lt;&gt;"",M120-Summary!$C$3,IF(K120="","",K120-Summary!$C$3))</f>
        <v>886</v>
      </c>
      <c r="O120" s="6" t="s">
        <v>4</v>
      </c>
      <c r="P120" s="6" t="s">
        <v>1560</v>
      </c>
      <c r="Q120" s="6" t="s">
        <v>1561</v>
      </c>
      <c r="R120" s="6" t="s">
        <v>1562</v>
      </c>
      <c r="S120" s="6" t="s">
        <v>1563</v>
      </c>
      <c r="T120" s="6" t="s">
        <v>1564</v>
      </c>
      <c r="U120" s="6" t="s">
        <v>89</v>
      </c>
      <c r="V120" s="6" t="s">
        <v>89</v>
      </c>
      <c r="W120" s="6" t="s">
        <v>1565</v>
      </c>
      <c r="X120" s="6" t="s">
        <v>1566</v>
      </c>
      <c r="Y120" s="6" t="s">
        <v>1567</v>
      </c>
      <c r="Z120" s="6" t="s">
        <v>79</v>
      </c>
      <c r="AA120" s="6" t="s">
        <v>80</v>
      </c>
    </row>
    <row r="121" customFormat="false" ht="43.25" hidden="false" customHeight="false" outlineLevel="0" collapsed="false">
      <c r="A121" s="6" t="s">
        <v>1568</v>
      </c>
      <c r="B121" s="6" t="s">
        <v>1569</v>
      </c>
      <c r="C121" s="6" t="s">
        <v>534</v>
      </c>
      <c r="D121" s="6" t="s">
        <v>1570</v>
      </c>
      <c r="E121" s="6" t="s">
        <v>26</v>
      </c>
      <c r="F121" s="6" t="s">
        <v>147</v>
      </c>
      <c r="G121" s="6" t="s">
        <v>1571</v>
      </c>
      <c r="H121" s="6" t="s">
        <v>65</v>
      </c>
      <c r="I121" s="6" t="s">
        <v>1572</v>
      </c>
      <c r="J121" s="6" t="s">
        <v>1573</v>
      </c>
      <c r="K121" s="7" t="n">
        <v>46325</v>
      </c>
      <c r="L121" s="6" t="s">
        <v>68</v>
      </c>
      <c r="M121" s="7"/>
      <c r="N121" s="8" t="n">
        <f aca="false">IF(M121&lt;&gt;"",M121-Summary!$C$3,IF(K121="","",K121-Summary!$C$3))</f>
        <v>20</v>
      </c>
      <c r="O121" s="6" t="s">
        <v>4</v>
      </c>
      <c r="P121" s="6" t="s">
        <v>1574</v>
      </c>
      <c r="Q121" s="6" t="s">
        <v>1575</v>
      </c>
      <c r="R121" s="6" t="s">
        <v>1576</v>
      </c>
      <c r="S121" s="6" t="s">
        <v>1577</v>
      </c>
      <c r="T121" s="6" t="s">
        <v>1578</v>
      </c>
      <c r="U121" s="6" t="s">
        <v>89</v>
      </c>
      <c r="V121" s="6" t="s">
        <v>1579</v>
      </c>
      <c r="W121" s="6" t="s">
        <v>1580</v>
      </c>
      <c r="X121" s="6" t="s">
        <v>1581</v>
      </c>
      <c r="Y121" s="6" t="s">
        <v>1582</v>
      </c>
      <c r="Z121" s="6" t="s">
        <v>79</v>
      </c>
      <c r="AA121" s="6" t="s">
        <v>80</v>
      </c>
    </row>
    <row r="122" customFormat="false" ht="53.7" hidden="false" customHeight="false" outlineLevel="0" collapsed="false">
      <c r="A122" s="6" t="s">
        <v>1583</v>
      </c>
      <c r="B122" s="6" t="s">
        <v>1584</v>
      </c>
      <c r="C122" s="6" t="s">
        <v>1583</v>
      </c>
      <c r="D122" s="6" t="s">
        <v>1585</v>
      </c>
      <c r="E122" s="6" t="s">
        <v>19</v>
      </c>
      <c r="F122" s="6" t="s">
        <v>1586</v>
      </c>
      <c r="G122" s="6" t="s">
        <v>1587</v>
      </c>
      <c r="H122" s="6" t="s">
        <v>65</v>
      </c>
      <c r="I122" s="6" t="s">
        <v>1588</v>
      </c>
      <c r="J122" s="6" t="s">
        <v>1589</v>
      </c>
      <c r="K122" s="7" t="n">
        <v>45412</v>
      </c>
      <c r="L122" s="6" t="s">
        <v>68</v>
      </c>
      <c r="M122" s="7"/>
      <c r="N122" s="8" t="n">
        <f aca="false">IF(M122&lt;&gt;"",M122-Summary!$C$3,IF(K122="","",K122-Summary!$C$3))</f>
        <v>-893</v>
      </c>
      <c r="O122" s="6" t="s">
        <v>4</v>
      </c>
      <c r="P122" s="6" t="s">
        <v>69</v>
      </c>
      <c r="Q122" s="6" t="s">
        <v>1590</v>
      </c>
      <c r="R122" s="6" t="s">
        <v>1591</v>
      </c>
      <c r="S122" s="6" t="s">
        <v>1592</v>
      </c>
      <c r="T122" s="6" t="s">
        <v>1593</v>
      </c>
      <c r="U122" s="6" t="s">
        <v>1594</v>
      </c>
      <c r="V122" s="6" t="s">
        <v>1595</v>
      </c>
      <c r="W122" s="6" t="s">
        <v>1596</v>
      </c>
      <c r="X122" s="6" t="s">
        <v>1597</v>
      </c>
      <c r="Y122" s="6" t="s">
        <v>1598</v>
      </c>
      <c r="Z122" s="6" t="s">
        <v>128</v>
      </c>
      <c r="AA122" s="6" t="s">
        <v>194</v>
      </c>
    </row>
    <row r="123" customFormat="false" ht="53.7" hidden="false" customHeight="false" outlineLevel="0" collapsed="false">
      <c r="A123" s="6" t="s">
        <v>1599</v>
      </c>
      <c r="B123" s="6" t="s">
        <v>1600</v>
      </c>
      <c r="C123" s="6" t="s">
        <v>1601</v>
      </c>
      <c r="D123" s="6" t="s">
        <v>1602</v>
      </c>
      <c r="E123" s="6" t="s">
        <v>17</v>
      </c>
      <c r="F123" s="6" t="s">
        <v>162</v>
      </c>
      <c r="G123" s="6" t="s">
        <v>1603</v>
      </c>
      <c r="H123" s="6" t="s">
        <v>65</v>
      </c>
      <c r="I123" s="6" t="s">
        <v>1014</v>
      </c>
      <c r="J123" s="6" t="s">
        <v>1604</v>
      </c>
      <c r="K123" s="7" t="n">
        <v>46660</v>
      </c>
      <c r="L123" s="6" t="s">
        <v>68</v>
      </c>
      <c r="M123" s="7"/>
      <c r="N123" s="8" t="n">
        <f aca="false">IF(M123&lt;&gt;"",M123-Summary!$C$3,IF(K123="","",K123-Summary!$C$3))</f>
        <v>355</v>
      </c>
      <c r="O123" s="6" t="s">
        <v>4</v>
      </c>
      <c r="P123" s="6" t="s">
        <v>1605</v>
      </c>
      <c r="Q123" s="6" t="s">
        <v>1606</v>
      </c>
      <c r="R123" s="6" t="s">
        <v>1607</v>
      </c>
      <c r="S123" s="6" t="s">
        <v>1608</v>
      </c>
      <c r="T123" s="6" t="s">
        <v>1609</v>
      </c>
      <c r="U123" s="6" t="s">
        <v>1610</v>
      </c>
      <c r="V123" s="6" t="s">
        <v>1611</v>
      </c>
      <c r="W123" s="6" t="s">
        <v>1612</v>
      </c>
      <c r="X123" s="6" t="s">
        <v>89</v>
      </c>
      <c r="Y123" s="6" t="s">
        <v>1613</v>
      </c>
      <c r="Z123" s="6" t="s">
        <v>79</v>
      </c>
      <c r="AA123" s="6" t="s">
        <v>80</v>
      </c>
    </row>
    <row r="124" customFormat="false" ht="53.7" hidden="false" customHeight="false" outlineLevel="0" collapsed="false">
      <c r="A124" s="6" t="s">
        <v>1599</v>
      </c>
      <c r="B124" s="6" t="s">
        <v>1614</v>
      </c>
      <c r="C124" s="6" t="s">
        <v>1615</v>
      </c>
      <c r="D124" s="6" t="s">
        <v>1616</v>
      </c>
      <c r="E124" s="6" t="s">
        <v>19</v>
      </c>
      <c r="F124" s="6" t="s">
        <v>162</v>
      </c>
      <c r="G124" s="6" t="s">
        <v>1617</v>
      </c>
      <c r="H124" s="6" t="s">
        <v>65</v>
      </c>
      <c r="I124" s="6" t="s">
        <v>1003</v>
      </c>
      <c r="J124" s="6" t="s">
        <v>1618</v>
      </c>
      <c r="K124" s="7" t="n">
        <v>46660</v>
      </c>
      <c r="L124" s="6" t="s">
        <v>68</v>
      </c>
      <c r="M124" s="7"/>
      <c r="N124" s="8" t="n">
        <f aca="false">IF(M124&lt;&gt;"",M124-Summary!$C$3,IF(K124="","",K124-Summary!$C$3))</f>
        <v>355</v>
      </c>
      <c r="O124" s="6" t="s">
        <v>4</v>
      </c>
      <c r="P124" s="6" t="s">
        <v>1619</v>
      </c>
      <c r="Q124" s="6" t="s">
        <v>1620</v>
      </c>
      <c r="R124" s="6" t="s">
        <v>882</v>
      </c>
      <c r="S124" s="6" t="s">
        <v>1621</v>
      </c>
      <c r="T124" s="6" t="s">
        <v>1622</v>
      </c>
      <c r="U124" s="6" t="s">
        <v>1623</v>
      </c>
      <c r="V124" s="6" t="s">
        <v>1624</v>
      </c>
      <c r="W124" s="6" t="s">
        <v>1625</v>
      </c>
      <c r="X124" s="6" t="s">
        <v>1626</v>
      </c>
      <c r="Y124" s="6" t="s">
        <v>1627</v>
      </c>
      <c r="Z124" s="6" t="s">
        <v>79</v>
      </c>
      <c r="AA124" s="6" t="s">
        <v>80</v>
      </c>
    </row>
    <row r="125" customFormat="false" ht="53.7" hidden="false" customHeight="false" outlineLevel="0" collapsed="false">
      <c r="A125" s="6" t="s">
        <v>1599</v>
      </c>
      <c r="B125" s="6" t="s">
        <v>1628</v>
      </c>
      <c r="C125" s="6" t="s">
        <v>1629</v>
      </c>
      <c r="D125" s="6" t="s">
        <v>1630</v>
      </c>
      <c r="E125" s="6" t="s">
        <v>19</v>
      </c>
      <c r="F125" s="6" t="s">
        <v>162</v>
      </c>
      <c r="G125" s="6" t="s">
        <v>958</v>
      </c>
      <c r="H125" s="6" t="s">
        <v>65</v>
      </c>
      <c r="I125" s="6" t="s">
        <v>1003</v>
      </c>
      <c r="J125" s="6" t="s">
        <v>1631</v>
      </c>
      <c r="K125" s="7" t="n">
        <v>46660</v>
      </c>
      <c r="L125" s="6" t="s">
        <v>68</v>
      </c>
      <c r="M125" s="7"/>
      <c r="N125" s="8" t="n">
        <f aca="false">IF(M125&lt;&gt;"",M125-Summary!$C$3,IF(K125="","",K125-Summary!$C$3))</f>
        <v>355</v>
      </c>
      <c r="O125" s="6" t="s">
        <v>4</v>
      </c>
      <c r="P125" s="6" t="s">
        <v>69</v>
      </c>
      <c r="Q125" s="6" t="s">
        <v>1632</v>
      </c>
      <c r="R125" s="6" t="s">
        <v>1633</v>
      </c>
      <c r="S125" s="6" t="s">
        <v>1634</v>
      </c>
      <c r="T125" s="6" t="s">
        <v>1635</v>
      </c>
      <c r="U125" s="6" t="s">
        <v>1636</v>
      </c>
      <c r="V125" s="6" t="s">
        <v>1637</v>
      </c>
      <c r="W125" s="6" t="s">
        <v>1638</v>
      </c>
      <c r="X125" s="6" t="s">
        <v>1639</v>
      </c>
      <c r="Y125" s="6" t="s">
        <v>1640</v>
      </c>
      <c r="Z125" s="6" t="s">
        <v>79</v>
      </c>
      <c r="AA125" s="6" t="s">
        <v>80</v>
      </c>
    </row>
    <row r="126" customFormat="false" ht="53.7" hidden="false" customHeight="false" outlineLevel="0" collapsed="false">
      <c r="A126" s="6" t="s">
        <v>1599</v>
      </c>
      <c r="B126" s="6" t="s">
        <v>1628</v>
      </c>
      <c r="C126" s="6" t="s">
        <v>1641</v>
      </c>
      <c r="D126" s="6" t="s">
        <v>1642</v>
      </c>
      <c r="E126" s="6" t="s">
        <v>19</v>
      </c>
      <c r="F126" s="6" t="s">
        <v>147</v>
      </c>
      <c r="G126" s="6" t="s">
        <v>1493</v>
      </c>
      <c r="H126" s="6" t="s">
        <v>65</v>
      </c>
      <c r="I126" s="6" t="s">
        <v>163</v>
      </c>
      <c r="J126" s="6" t="s">
        <v>1643</v>
      </c>
      <c r="K126" s="7" t="n">
        <v>46811</v>
      </c>
      <c r="L126" s="6" t="s">
        <v>68</v>
      </c>
      <c r="M126" s="7"/>
      <c r="N126" s="8" t="n">
        <f aca="false">IF(M126&lt;&gt;"",M126-Summary!$C$3,IF(K126="","",K126-Summary!$C$3))</f>
        <v>506</v>
      </c>
      <c r="O126" s="6" t="s">
        <v>4</v>
      </c>
      <c r="P126" s="6" t="s">
        <v>69</v>
      </c>
      <c r="Q126" s="6" t="s">
        <v>1644</v>
      </c>
      <c r="R126" s="6" t="s">
        <v>1645</v>
      </c>
      <c r="S126" s="6" t="s">
        <v>1646</v>
      </c>
      <c r="T126" s="6" t="s">
        <v>1647</v>
      </c>
      <c r="U126" s="6" t="s">
        <v>1648</v>
      </c>
      <c r="V126" s="6" t="s">
        <v>1649</v>
      </c>
      <c r="W126" s="6" t="s">
        <v>1650</v>
      </c>
      <c r="X126" s="6" t="s">
        <v>1651</v>
      </c>
      <c r="Y126" s="6" t="s">
        <v>1652</v>
      </c>
      <c r="Z126" s="6" t="s">
        <v>79</v>
      </c>
      <c r="AA126" s="6" t="s">
        <v>80</v>
      </c>
    </row>
    <row r="127" customFormat="false" ht="43.25" hidden="false" customHeight="false" outlineLevel="0" collapsed="false">
      <c r="A127" s="6" t="s">
        <v>1599</v>
      </c>
      <c r="B127" s="6" t="s">
        <v>1628</v>
      </c>
      <c r="C127" s="6" t="s">
        <v>1653</v>
      </c>
      <c r="D127" s="6" t="s">
        <v>1654</v>
      </c>
      <c r="E127" s="6" t="s">
        <v>19</v>
      </c>
      <c r="F127" s="6" t="s">
        <v>1655</v>
      </c>
      <c r="G127" s="6" t="s">
        <v>1656</v>
      </c>
      <c r="H127" s="6" t="s">
        <v>65</v>
      </c>
      <c r="I127" s="6" t="s">
        <v>163</v>
      </c>
      <c r="J127" s="6" t="s">
        <v>1657</v>
      </c>
      <c r="K127" s="7" t="n">
        <v>46812</v>
      </c>
      <c r="L127" s="6" t="s">
        <v>68</v>
      </c>
      <c r="M127" s="7"/>
      <c r="N127" s="8" t="n">
        <f aca="false">IF(M127&lt;&gt;"",M127-Summary!$C$3,IF(K127="","",K127-Summary!$C$3))</f>
        <v>507</v>
      </c>
      <c r="O127" s="6" t="s">
        <v>4</v>
      </c>
      <c r="P127" s="6" t="s">
        <v>69</v>
      </c>
      <c r="Q127" s="6" t="s">
        <v>1658</v>
      </c>
      <c r="R127" s="6" t="s">
        <v>1659</v>
      </c>
      <c r="S127" s="6" t="s">
        <v>1660</v>
      </c>
      <c r="T127" s="6" t="s">
        <v>1661</v>
      </c>
      <c r="U127" s="6" t="s">
        <v>1662</v>
      </c>
      <c r="V127" s="6" t="s">
        <v>1663</v>
      </c>
      <c r="W127" s="6" t="s">
        <v>1664</v>
      </c>
      <c r="X127" s="6" t="s">
        <v>1665</v>
      </c>
      <c r="Y127" s="6" t="s">
        <v>1666</v>
      </c>
      <c r="Z127" s="6" t="s">
        <v>79</v>
      </c>
      <c r="AA127" s="6" t="s">
        <v>80</v>
      </c>
    </row>
    <row r="128" customFormat="false" ht="43.25" hidden="false" customHeight="false" outlineLevel="0" collapsed="false">
      <c r="A128" s="6" t="s">
        <v>1599</v>
      </c>
      <c r="B128" s="6" t="s">
        <v>1667</v>
      </c>
      <c r="C128" s="6" t="s">
        <v>1641</v>
      </c>
      <c r="D128" s="6" t="s">
        <v>1668</v>
      </c>
      <c r="E128" s="6" t="s">
        <v>17</v>
      </c>
      <c r="F128" s="6" t="s">
        <v>147</v>
      </c>
      <c r="G128" s="6" t="s">
        <v>1669</v>
      </c>
      <c r="H128" s="6" t="s">
        <v>65</v>
      </c>
      <c r="I128" s="6" t="s">
        <v>683</v>
      </c>
      <c r="J128" s="6" t="s">
        <v>1670</v>
      </c>
      <c r="K128" s="7" t="n">
        <v>46965</v>
      </c>
      <c r="L128" s="6" t="s">
        <v>68</v>
      </c>
      <c r="M128" s="7"/>
      <c r="N128" s="8" t="n">
        <f aca="false">IF(M128&lt;&gt;"",M128-Summary!$C$3,IF(K128="","",K128-Summary!$C$3))</f>
        <v>660</v>
      </c>
      <c r="O128" s="6" t="s">
        <v>4</v>
      </c>
      <c r="P128" s="6" t="s">
        <v>1671</v>
      </c>
      <c r="Q128" s="6" t="s">
        <v>1672</v>
      </c>
      <c r="R128" s="6" t="s">
        <v>1673</v>
      </c>
      <c r="S128" s="6" t="s">
        <v>1674</v>
      </c>
      <c r="T128" s="6" t="s">
        <v>1609</v>
      </c>
      <c r="U128" s="6" t="s">
        <v>1675</v>
      </c>
      <c r="V128" s="6" t="s">
        <v>1676</v>
      </c>
      <c r="W128" s="6" t="s">
        <v>89</v>
      </c>
      <c r="X128" s="6" t="s">
        <v>1677</v>
      </c>
      <c r="Y128" s="6" t="s">
        <v>1678</v>
      </c>
      <c r="Z128" s="6" t="s">
        <v>79</v>
      </c>
      <c r="AA128" s="6" t="s">
        <v>80</v>
      </c>
    </row>
    <row r="129" customFormat="false" ht="53.7" hidden="false" customHeight="false" outlineLevel="0" collapsed="false">
      <c r="A129" s="6" t="s">
        <v>1679</v>
      </c>
      <c r="B129" s="6" t="s">
        <v>1680</v>
      </c>
      <c r="C129" s="6" t="s">
        <v>1681</v>
      </c>
      <c r="D129" s="6" t="s">
        <v>1682</v>
      </c>
      <c r="E129" s="6" t="s">
        <v>19</v>
      </c>
      <c r="F129" s="6" t="s">
        <v>147</v>
      </c>
      <c r="G129" s="6" t="s">
        <v>1683</v>
      </c>
      <c r="H129" s="6" t="s">
        <v>65</v>
      </c>
      <c r="I129" s="6" t="s">
        <v>1684</v>
      </c>
      <c r="J129" s="6" t="s">
        <v>176</v>
      </c>
      <c r="K129" s="7" t="n">
        <v>46812</v>
      </c>
      <c r="L129" s="6" t="s">
        <v>68</v>
      </c>
      <c r="M129" s="7"/>
      <c r="N129" s="8" t="n">
        <f aca="false">IF(M129&lt;&gt;"",M129-Summary!$C$3,IF(K129="","",K129-Summary!$C$3))</f>
        <v>507</v>
      </c>
      <c r="O129" s="6" t="s">
        <v>4</v>
      </c>
      <c r="P129" s="6" t="s">
        <v>1685</v>
      </c>
      <c r="Q129" s="6" t="s">
        <v>1686</v>
      </c>
      <c r="R129" s="6" t="s">
        <v>1687</v>
      </c>
      <c r="S129" s="6" t="s">
        <v>1688</v>
      </c>
      <c r="T129" s="6" t="s">
        <v>1689</v>
      </c>
      <c r="U129" s="6" t="s">
        <v>1690</v>
      </c>
      <c r="V129" s="6" t="s">
        <v>1691</v>
      </c>
      <c r="W129" s="6" t="s">
        <v>1692</v>
      </c>
      <c r="X129" s="6" t="s">
        <v>1693</v>
      </c>
      <c r="Y129" s="6" t="s">
        <v>1694</v>
      </c>
      <c r="Z129" s="6" t="s">
        <v>79</v>
      </c>
      <c r="AA129" s="6" t="s">
        <v>80</v>
      </c>
    </row>
    <row r="130" customFormat="false" ht="53.7" hidden="false" customHeight="false" outlineLevel="0" collapsed="false">
      <c r="A130" s="6" t="s">
        <v>1695</v>
      </c>
      <c r="B130" s="6" t="s">
        <v>1680</v>
      </c>
      <c r="C130" s="6" t="s">
        <v>1696</v>
      </c>
      <c r="D130" s="6" t="s">
        <v>1697</v>
      </c>
      <c r="E130" s="6" t="s">
        <v>19</v>
      </c>
      <c r="F130" s="6" t="s">
        <v>224</v>
      </c>
      <c r="G130" s="6" t="s">
        <v>1698</v>
      </c>
      <c r="H130" s="6" t="s">
        <v>65</v>
      </c>
      <c r="I130" s="6" t="s">
        <v>1684</v>
      </c>
      <c r="J130" s="6" t="s">
        <v>1699</v>
      </c>
      <c r="K130" s="7" t="n">
        <v>46812</v>
      </c>
      <c r="L130" s="6" t="s">
        <v>68</v>
      </c>
      <c r="M130" s="7"/>
      <c r="N130" s="8" t="n">
        <f aca="false">IF(M130&lt;&gt;"",M130-Summary!$C$3,IF(K130="","",K130-Summary!$C$3))</f>
        <v>507</v>
      </c>
      <c r="O130" s="6" t="s">
        <v>4</v>
      </c>
      <c r="P130" s="6" t="s">
        <v>1700</v>
      </c>
      <c r="Q130" s="6" t="s">
        <v>1701</v>
      </c>
      <c r="R130" s="6" t="s">
        <v>1702</v>
      </c>
      <c r="S130" s="6" t="s">
        <v>1703</v>
      </c>
      <c r="T130" s="6" t="s">
        <v>1704</v>
      </c>
      <c r="U130" s="6" t="s">
        <v>1705</v>
      </c>
      <c r="V130" s="6" t="s">
        <v>1706</v>
      </c>
      <c r="W130" s="6" t="s">
        <v>803</v>
      </c>
      <c r="X130" s="6" t="s">
        <v>1707</v>
      </c>
      <c r="Y130" s="6" t="s">
        <v>1708</v>
      </c>
      <c r="Z130" s="6" t="s">
        <v>79</v>
      </c>
      <c r="AA130" s="6" t="s">
        <v>80</v>
      </c>
    </row>
    <row r="131" customFormat="false" ht="53.7" hidden="false" customHeight="false" outlineLevel="0" collapsed="false">
      <c r="A131" s="6" t="s">
        <v>1709</v>
      </c>
      <c r="B131" s="6" t="s">
        <v>1710</v>
      </c>
      <c r="C131" s="6" t="s">
        <v>1711</v>
      </c>
      <c r="D131" s="6" t="s">
        <v>1712</v>
      </c>
      <c r="E131" s="6" t="s">
        <v>19</v>
      </c>
      <c r="F131" s="6" t="s">
        <v>162</v>
      </c>
      <c r="G131" s="6" t="s">
        <v>1713</v>
      </c>
      <c r="H131" s="6" t="s">
        <v>65</v>
      </c>
      <c r="I131" s="6" t="s">
        <v>1003</v>
      </c>
      <c r="J131" s="6" t="s">
        <v>334</v>
      </c>
      <c r="K131" s="7" t="n">
        <v>46660</v>
      </c>
      <c r="L131" s="6" t="s">
        <v>68</v>
      </c>
      <c r="M131" s="7"/>
      <c r="N131" s="8" t="n">
        <f aca="false">IF(M131&lt;&gt;"",M131-Summary!$C$3,IF(K131="","",K131-Summary!$C$3))</f>
        <v>355</v>
      </c>
      <c r="O131" s="6" t="s">
        <v>4</v>
      </c>
      <c r="P131" s="6" t="s">
        <v>1714</v>
      </c>
      <c r="Q131" s="6" t="s">
        <v>1715</v>
      </c>
      <c r="R131" s="6" t="s">
        <v>1716</v>
      </c>
      <c r="S131" s="6" t="s">
        <v>1717</v>
      </c>
      <c r="T131" s="6" t="s">
        <v>1718</v>
      </c>
      <c r="U131" s="6" t="s">
        <v>1719</v>
      </c>
      <c r="V131" s="6" t="s">
        <v>1720</v>
      </c>
      <c r="W131" s="6" t="s">
        <v>1721</v>
      </c>
      <c r="X131" s="6" t="s">
        <v>1722</v>
      </c>
      <c r="Y131" s="6" t="s">
        <v>1723</v>
      </c>
      <c r="Z131" s="6" t="s">
        <v>79</v>
      </c>
      <c r="AA131" s="6" t="s">
        <v>80</v>
      </c>
    </row>
    <row r="132" customFormat="false" ht="43.25" hidden="false" customHeight="false" outlineLevel="0" collapsed="false">
      <c r="A132" s="6" t="s">
        <v>1724</v>
      </c>
      <c r="B132" s="6" t="s">
        <v>1725</v>
      </c>
      <c r="C132" s="6" t="s">
        <v>1726</v>
      </c>
      <c r="D132" s="6" t="s">
        <v>1727</v>
      </c>
      <c r="E132" s="6" t="s">
        <v>19</v>
      </c>
      <c r="F132" s="6" t="s">
        <v>162</v>
      </c>
      <c r="G132" s="6" t="s">
        <v>1728</v>
      </c>
      <c r="H132" s="6" t="s">
        <v>65</v>
      </c>
      <c r="I132" s="6" t="s">
        <v>854</v>
      </c>
      <c r="J132" s="6" t="s">
        <v>1729</v>
      </c>
      <c r="K132" s="7" t="n">
        <v>46660</v>
      </c>
      <c r="L132" s="6" t="s">
        <v>68</v>
      </c>
      <c r="M132" s="7"/>
      <c r="N132" s="8" t="n">
        <f aca="false">IF(M132&lt;&gt;"",M132-Summary!$C$3,IF(K132="","",K132-Summary!$C$3))</f>
        <v>355</v>
      </c>
      <c r="O132" s="6" t="s">
        <v>4</v>
      </c>
      <c r="P132" s="6" t="s">
        <v>1730</v>
      </c>
      <c r="Q132" s="6" t="s">
        <v>1715</v>
      </c>
      <c r="R132" s="6" t="s">
        <v>1716</v>
      </c>
      <c r="S132" s="6" t="s">
        <v>1731</v>
      </c>
      <c r="T132" s="6" t="s">
        <v>1732</v>
      </c>
      <c r="U132" s="6" t="s">
        <v>1733</v>
      </c>
      <c r="V132" s="6" t="s">
        <v>1734</v>
      </c>
      <c r="W132" s="6" t="s">
        <v>1735</v>
      </c>
      <c r="X132" s="6" t="s">
        <v>1736</v>
      </c>
      <c r="Y132" s="6" t="s">
        <v>1737</v>
      </c>
      <c r="Z132" s="6" t="s">
        <v>79</v>
      </c>
      <c r="AA132" s="6" t="s">
        <v>80</v>
      </c>
    </row>
    <row r="133" customFormat="false" ht="43.25" hidden="false" customHeight="false" outlineLevel="0" collapsed="false">
      <c r="A133" s="6" t="s">
        <v>1738</v>
      </c>
      <c r="B133" s="6" t="s">
        <v>1738</v>
      </c>
      <c r="C133" s="6" t="s">
        <v>1738</v>
      </c>
      <c r="D133" s="6" t="s">
        <v>1739</v>
      </c>
      <c r="E133" s="6" t="s">
        <v>21</v>
      </c>
      <c r="F133" s="6" t="s">
        <v>162</v>
      </c>
      <c r="G133" s="6" t="s">
        <v>1740</v>
      </c>
      <c r="H133" s="6" t="s">
        <v>65</v>
      </c>
      <c r="I133" s="6" t="s">
        <v>1741</v>
      </c>
      <c r="J133" s="6" t="s">
        <v>1742</v>
      </c>
      <c r="K133" s="7" t="n">
        <v>46463</v>
      </c>
      <c r="L133" s="6" t="s">
        <v>68</v>
      </c>
      <c r="M133" s="7"/>
      <c r="N133" s="8" t="n">
        <f aca="false">IF(M133&lt;&gt;"",M133-Summary!$C$3,IF(K133="","",K133-Summary!$C$3))</f>
        <v>158</v>
      </c>
      <c r="O133" s="6" t="s">
        <v>4</v>
      </c>
      <c r="P133" s="6" t="s">
        <v>69</v>
      </c>
      <c r="Q133" s="6" t="s">
        <v>134</v>
      </c>
      <c r="R133" s="6" t="s">
        <v>1743</v>
      </c>
      <c r="S133" s="6" t="s">
        <v>1744</v>
      </c>
      <c r="T133" s="6" t="s">
        <v>89</v>
      </c>
      <c r="U133" s="6" t="s">
        <v>89</v>
      </c>
      <c r="V133" s="6" t="s">
        <v>1745</v>
      </c>
      <c r="W133" s="6" t="s">
        <v>1746</v>
      </c>
      <c r="X133" s="6" t="s">
        <v>1747</v>
      </c>
      <c r="Y133" s="6" t="s">
        <v>1748</v>
      </c>
      <c r="Z133" s="6" t="s">
        <v>79</v>
      </c>
      <c r="AA133" s="6" t="s">
        <v>80</v>
      </c>
    </row>
    <row r="134" customFormat="false" ht="53.7" hidden="false" customHeight="false" outlineLevel="0" collapsed="false">
      <c r="A134" s="6" t="s">
        <v>1749</v>
      </c>
      <c r="B134" s="6" t="s">
        <v>1749</v>
      </c>
      <c r="C134" s="6" t="s">
        <v>1750</v>
      </c>
      <c r="D134" s="6" t="s">
        <v>1751</v>
      </c>
      <c r="E134" s="6" t="s">
        <v>21</v>
      </c>
      <c r="F134" s="6" t="s">
        <v>162</v>
      </c>
      <c r="G134" s="6" t="s">
        <v>122</v>
      </c>
      <c r="H134" s="6" t="s">
        <v>65</v>
      </c>
      <c r="I134" s="6" t="s">
        <v>683</v>
      </c>
      <c r="J134" s="6" t="s">
        <v>894</v>
      </c>
      <c r="K134" s="7" t="n">
        <v>47695</v>
      </c>
      <c r="L134" s="6" t="s">
        <v>68</v>
      </c>
      <c r="M134" s="7"/>
      <c r="N134" s="8" t="n">
        <f aca="false">IF(M134&lt;&gt;"",M134-Summary!$C$3,IF(K134="","",K134-Summary!$C$3))</f>
        <v>1390</v>
      </c>
      <c r="O134" s="6" t="s">
        <v>4</v>
      </c>
      <c r="P134" s="6" t="s">
        <v>150</v>
      </c>
      <c r="Q134" s="6" t="s">
        <v>134</v>
      </c>
      <c r="R134" s="6" t="s">
        <v>1752</v>
      </c>
      <c r="S134" s="6" t="s">
        <v>1753</v>
      </c>
      <c r="T134" s="6" t="s">
        <v>1754</v>
      </c>
      <c r="U134" s="6" t="s">
        <v>1755</v>
      </c>
      <c r="V134" s="6" t="s">
        <v>1756</v>
      </c>
      <c r="W134" s="6" t="s">
        <v>1757</v>
      </c>
      <c r="X134" s="6" t="s">
        <v>1758</v>
      </c>
      <c r="Y134" s="6" t="s">
        <v>1759</v>
      </c>
      <c r="Z134" s="6" t="s">
        <v>128</v>
      </c>
      <c r="AA134" s="6" t="s">
        <v>80</v>
      </c>
    </row>
    <row r="135" customFormat="false" ht="53.7" hidden="false" customHeight="false" outlineLevel="0" collapsed="false">
      <c r="A135" s="6" t="s">
        <v>1760</v>
      </c>
      <c r="B135" s="6" t="s">
        <v>1761</v>
      </c>
      <c r="C135" s="6" t="s">
        <v>1761</v>
      </c>
      <c r="D135" s="6" t="s">
        <v>1762</v>
      </c>
      <c r="E135" s="6" t="s">
        <v>21</v>
      </c>
      <c r="F135" s="6" t="s">
        <v>147</v>
      </c>
      <c r="G135" s="6" t="s">
        <v>122</v>
      </c>
      <c r="H135" s="6" t="s">
        <v>65</v>
      </c>
      <c r="I135" s="6" t="s">
        <v>854</v>
      </c>
      <c r="J135" s="6" t="s">
        <v>1763</v>
      </c>
      <c r="K135" s="7" t="n">
        <v>47238</v>
      </c>
      <c r="L135" s="6" t="s">
        <v>68</v>
      </c>
      <c r="M135" s="7"/>
      <c r="N135" s="8" t="n">
        <f aca="false">IF(M135&lt;&gt;"",M135-Summary!$C$3,IF(K135="","",K135-Summary!$C$3))</f>
        <v>933</v>
      </c>
      <c r="O135" s="6" t="s">
        <v>4</v>
      </c>
      <c r="P135" s="6" t="s">
        <v>1396</v>
      </c>
      <c r="Q135" s="6" t="s">
        <v>1764</v>
      </c>
      <c r="R135" s="6" t="s">
        <v>1765</v>
      </c>
      <c r="S135" s="6" t="s">
        <v>1766</v>
      </c>
      <c r="T135" s="6" t="s">
        <v>1767</v>
      </c>
      <c r="U135" s="6" t="s">
        <v>110</v>
      </c>
      <c r="V135" s="6" t="s">
        <v>1768</v>
      </c>
      <c r="W135" s="6" t="s">
        <v>1769</v>
      </c>
      <c r="X135" s="6" t="s">
        <v>1770</v>
      </c>
      <c r="Y135" s="6" t="s">
        <v>1771</v>
      </c>
      <c r="Z135" s="6" t="s">
        <v>79</v>
      </c>
      <c r="AA135" s="6" t="s">
        <v>194</v>
      </c>
    </row>
    <row r="136" customFormat="false" ht="74.6" hidden="false" customHeight="false" outlineLevel="0" collapsed="false">
      <c r="A136" s="6" t="s">
        <v>1772</v>
      </c>
      <c r="B136" s="6" t="s">
        <v>1773</v>
      </c>
      <c r="C136" s="6" t="s">
        <v>1774</v>
      </c>
      <c r="D136" s="6" t="s">
        <v>1775</v>
      </c>
      <c r="E136" s="6" t="s">
        <v>20</v>
      </c>
      <c r="F136" s="6" t="s">
        <v>224</v>
      </c>
      <c r="G136" s="6" t="s">
        <v>682</v>
      </c>
      <c r="H136" s="6" t="s">
        <v>65</v>
      </c>
      <c r="I136" s="6" t="s">
        <v>1776</v>
      </c>
      <c r="J136" s="6" t="s">
        <v>1777</v>
      </c>
      <c r="K136" s="7" t="n">
        <v>45565</v>
      </c>
      <c r="L136" s="6" t="s">
        <v>68</v>
      </c>
      <c r="M136" s="7"/>
      <c r="N136" s="8" t="n">
        <f aca="false">IF(M136&lt;&gt;"",M136-Summary!$C$3,IF(K136="","",K136-Summary!$C$3))</f>
        <v>-740</v>
      </c>
      <c r="O136" s="6" t="s">
        <v>5</v>
      </c>
      <c r="P136" s="6" t="s">
        <v>89</v>
      </c>
      <c r="Q136" s="6" t="s">
        <v>89</v>
      </c>
      <c r="R136" s="6" t="s">
        <v>1778</v>
      </c>
      <c r="S136" s="6" t="s">
        <v>1779</v>
      </c>
      <c r="T136" s="6" t="s">
        <v>89</v>
      </c>
      <c r="U136" s="6" t="s">
        <v>89</v>
      </c>
      <c r="V136" s="6" t="s">
        <v>1780</v>
      </c>
      <c r="W136" s="6" t="s">
        <v>89</v>
      </c>
      <c r="X136" s="6" t="s">
        <v>89</v>
      </c>
      <c r="Y136" s="6" t="s">
        <v>1781</v>
      </c>
      <c r="Z136" s="6" t="s">
        <v>128</v>
      </c>
      <c r="AA136" s="6" t="s">
        <v>80</v>
      </c>
    </row>
    <row r="137" customFormat="false" ht="53.7" hidden="false" customHeight="false" outlineLevel="0" collapsed="false">
      <c r="A137" s="6" t="s">
        <v>1782</v>
      </c>
      <c r="B137" s="6" t="s">
        <v>1783</v>
      </c>
      <c r="C137" s="6" t="s">
        <v>1784</v>
      </c>
      <c r="D137" s="6" t="s">
        <v>1785</v>
      </c>
      <c r="E137" s="6" t="s">
        <v>20</v>
      </c>
      <c r="F137" s="6" t="s">
        <v>224</v>
      </c>
      <c r="G137" s="6" t="s">
        <v>682</v>
      </c>
      <c r="H137" s="6" t="s">
        <v>65</v>
      </c>
      <c r="I137" s="6" t="s">
        <v>1786</v>
      </c>
      <c r="J137" s="6" t="s">
        <v>1787</v>
      </c>
      <c r="K137" s="7" t="n">
        <v>46295</v>
      </c>
      <c r="L137" s="6" t="s">
        <v>68</v>
      </c>
      <c r="M137" s="7"/>
      <c r="N137" s="8" t="n">
        <f aca="false">IF(M137&lt;&gt;"",M137-Summary!$C$3,IF(K137="","",K137-Summary!$C$3))</f>
        <v>-10</v>
      </c>
      <c r="O137" s="6" t="s">
        <v>5</v>
      </c>
      <c r="P137" s="6" t="s">
        <v>1788</v>
      </c>
      <c r="Q137" s="6" t="s">
        <v>1789</v>
      </c>
      <c r="R137" s="6" t="s">
        <v>1790</v>
      </c>
      <c r="S137" s="6" t="s">
        <v>1791</v>
      </c>
      <c r="T137" s="6" t="s">
        <v>89</v>
      </c>
      <c r="U137" s="6" t="s">
        <v>1792</v>
      </c>
      <c r="V137" s="6" t="s">
        <v>1793</v>
      </c>
      <c r="W137" s="6" t="s">
        <v>89</v>
      </c>
      <c r="X137" s="6" t="s">
        <v>1794</v>
      </c>
      <c r="Y137" s="6" t="s">
        <v>1795</v>
      </c>
      <c r="Z137" s="6" t="s">
        <v>128</v>
      </c>
      <c r="AA137" s="6" t="s">
        <v>194</v>
      </c>
    </row>
    <row r="138" customFormat="false" ht="64.15" hidden="false" customHeight="false" outlineLevel="0" collapsed="false">
      <c r="A138" s="6" t="s">
        <v>1796</v>
      </c>
      <c r="B138" s="6" t="s">
        <v>1797</v>
      </c>
      <c r="C138" s="6" t="s">
        <v>1798</v>
      </c>
      <c r="D138" s="6" t="s">
        <v>1799</v>
      </c>
      <c r="E138" s="6" t="s">
        <v>20</v>
      </c>
      <c r="F138" s="6" t="s">
        <v>224</v>
      </c>
      <c r="G138" s="6" t="s">
        <v>682</v>
      </c>
      <c r="H138" s="6" t="s">
        <v>65</v>
      </c>
      <c r="I138" s="6" t="s">
        <v>1800</v>
      </c>
      <c r="J138" s="6" t="s">
        <v>1801</v>
      </c>
      <c r="K138" s="7" t="n">
        <v>45565</v>
      </c>
      <c r="L138" s="6" t="s">
        <v>68</v>
      </c>
      <c r="M138" s="7"/>
      <c r="N138" s="8" t="n">
        <f aca="false">IF(M138&lt;&gt;"",M138-Summary!$C$3,IF(K138="","",K138-Summary!$C$3))</f>
        <v>-740</v>
      </c>
      <c r="O138" s="6" t="s">
        <v>5</v>
      </c>
      <c r="P138" s="6" t="s">
        <v>1802</v>
      </c>
      <c r="Q138" s="6" t="s">
        <v>89</v>
      </c>
      <c r="R138" s="6" t="s">
        <v>1803</v>
      </c>
      <c r="S138" s="6" t="s">
        <v>1804</v>
      </c>
      <c r="T138" s="6" t="s">
        <v>89</v>
      </c>
      <c r="U138" s="6" t="s">
        <v>89</v>
      </c>
      <c r="V138" s="6" t="s">
        <v>1805</v>
      </c>
      <c r="W138" s="6" t="s">
        <v>89</v>
      </c>
      <c r="X138" s="6" t="s">
        <v>1806</v>
      </c>
      <c r="Y138" s="6" t="s">
        <v>1807</v>
      </c>
      <c r="Z138" s="6" t="s">
        <v>128</v>
      </c>
      <c r="AA138" s="6" t="s">
        <v>80</v>
      </c>
    </row>
    <row r="139" customFormat="false" ht="53.7" hidden="false" customHeight="false" outlineLevel="0" collapsed="false">
      <c r="A139" s="6" t="s">
        <v>1808</v>
      </c>
      <c r="B139" s="6" t="s">
        <v>1809</v>
      </c>
      <c r="C139" s="6" t="s">
        <v>1810</v>
      </c>
      <c r="D139" s="6" t="s">
        <v>1811</v>
      </c>
      <c r="E139" s="6" t="s">
        <v>20</v>
      </c>
      <c r="F139" s="6" t="s">
        <v>224</v>
      </c>
      <c r="G139" s="6" t="s">
        <v>682</v>
      </c>
      <c r="H139" s="6" t="s">
        <v>65</v>
      </c>
      <c r="I139" s="6" t="s">
        <v>1812</v>
      </c>
      <c r="J139" s="6" t="s">
        <v>1813</v>
      </c>
      <c r="K139" s="7" t="n">
        <v>46204</v>
      </c>
      <c r="L139" s="6" t="s">
        <v>68</v>
      </c>
      <c r="M139" s="7"/>
      <c r="N139" s="8" t="n">
        <f aca="false">IF(M139&lt;&gt;"",M139-Summary!$C$3,IF(K139="","",K139-Summary!$C$3))</f>
        <v>-101</v>
      </c>
      <c r="O139" s="6" t="s">
        <v>5</v>
      </c>
      <c r="P139" s="6" t="s">
        <v>89</v>
      </c>
      <c r="Q139" s="6" t="s">
        <v>110</v>
      </c>
      <c r="R139" s="6" t="s">
        <v>1814</v>
      </c>
      <c r="S139" s="6" t="s">
        <v>1815</v>
      </c>
      <c r="T139" s="6" t="s">
        <v>89</v>
      </c>
      <c r="U139" s="6" t="s">
        <v>89</v>
      </c>
      <c r="V139" s="6" t="s">
        <v>1816</v>
      </c>
      <c r="W139" s="6" t="s">
        <v>89</v>
      </c>
      <c r="X139" s="6" t="s">
        <v>1817</v>
      </c>
      <c r="Y139" s="6" t="s">
        <v>1818</v>
      </c>
      <c r="Z139" s="6" t="s">
        <v>128</v>
      </c>
      <c r="AA139" s="6" t="s">
        <v>194</v>
      </c>
    </row>
    <row r="140" customFormat="false" ht="64.15" hidden="false" customHeight="false" outlineLevel="0" collapsed="false">
      <c r="A140" s="6" t="s">
        <v>654</v>
      </c>
      <c r="B140" s="6" t="s">
        <v>1819</v>
      </c>
      <c r="C140" s="6" t="s">
        <v>1820</v>
      </c>
      <c r="D140" s="6" t="s">
        <v>1821</v>
      </c>
      <c r="E140" s="6" t="s">
        <v>20</v>
      </c>
      <c r="F140" s="6" t="s">
        <v>224</v>
      </c>
      <c r="G140" s="6" t="s">
        <v>682</v>
      </c>
      <c r="H140" s="6" t="s">
        <v>65</v>
      </c>
      <c r="I140" s="6" t="s">
        <v>1822</v>
      </c>
      <c r="J140" s="6" t="s">
        <v>1788</v>
      </c>
      <c r="K140" s="7" t="n">
        <v>45565</v>
      </c>
      <c r="L140" s="6" t="s">
        <v>1823</v>
      </c>
      <c r="M140" s="7"/>
      <c r="N140" s="8" t="n">
        <f aca="false">IF(M140&lt;&gt;"",M140-Summary!$C$3,IF(K140="","",K140-Summary!$C$3))</f>
        <v>-740</v>
      </c>
      <c r="O140" s="6" t="s">
        <v>5</v>
      </c>
      <c r="P140" s="6" t="s">
        <v>89</v>
      </c>
      <c r="Q140" s="6" t="s">
        <v>89</v>
      </c>
      <c r="R140" s="6" t="s">
        <v>693</v>
      </c>
      <c r="S140" s="6" t="s">
        <v>694</v>
      </c>
      <c r="T140" s="6" t="s">
        <v>89</v>
      </c>
      <c r="U140" s="6" t="s">
        <v>89</v>
      </c>
      <c r="V140" s="6" t="s">
        <v>1824</v>
      </c>
      <c r="W140" s="6" t="s">
        <v>89</v>
      </c>
      <c r="X140" s="6" t="s">
        <v>89</v>
      </c>
      <c r="Y140" s="6" t="s">
        <v>1825</v>
      </c>
      <c r="Z140" s="6" t="s">
        <v>128</v>
      </c>
      <c r="AA140" s="6" t="s">
        <v>80</v>
      </c>
    </row>
    <row r="141" customFormat="false" ht="53.7" hidden="false" customHeight="false" outlineLevel="0" collapsed="false">
      <c r="A141" s="6" t="s">
        <v>654</v>
      </c>
      <c r="B141" s="6" t="s">
        <v>1826</v>
      </c>
      <c r="C141" s="6" t="s">
        <v>1826</v>
      </c>
      <c r="D141" s="6" t="s">
        <v>1827</v>
      </c>
      <c r="E141" s="6" t="s">
        <v>20</v>
      </c>
      <c r="F141" s="6" t="s">
        <v>224</v>
      </c>
      <c r="G141" s="6" t="s">
        <v>682</v>
      </c>
      <c r="H141" s="6" t="s">
        <v>65</v>
      </c>
      <c r="I141" s="6" t="s">
        <v>1828</v>
      </c>
      <c r="J141" s="6" t="s">
        <v>1829</v>
      </c>
      <c r="K141" s="7" t="n">
        <v>46204</v>
      </c>
      <c r="L141" s="6" t="s">
        <v>68</v>
      </c>
      <c r="M141" s="7"/>
      <c r="N141" s="8" t="n">
        <f aca="false">IF(M141&lt;&gt;"",M141-Summary!$C$3,IF(K141="","",K141-Summary!$C$3))</f>
        <v>-101</v>
      </c>
      <c r="O141" s="6" t="s">
        <v>5</v>
      </c>
      <c r="P141" s="6" t="s">
        <v>89</v>
      </c>
      <c r="Q141" s="6" t="s">
        <v>89</v>
      </c>
      <c r="R141" s="6" t="s">
        <v>693</v>
      </c>
      <c r="S141" s="6" t="s">
        <v>694</v>
      </c>
      <c r="T141" s="6" t="s">
        <v>89</v>
      </c>
      <c r="U141" s="6" t="s">
        <v>89</v>
      </c>
      <c r="V141" s="6" t="s">
        <v>695</v>
      </c>
      <c r="W141" s="6" t="s">
        <v>89</v>
      </c>
      <c r="X141" s="6" t="s">
        <v>89</v>
      </c>
      <c r="Y141" s="6" t="s">
        <v>1830</v>
      </c>
      <c r="Z141" s="6" t="s">
        <v>128</v>
      </c>
      <c r="AA141" s="6" t="s">
        <v>80</v>
      </c>
    </row>
    <row r="142" customFormat="false" ht="53.7" hidden="false" customHeight="false" outlineLevel="0" collapsed="false">
      <c r="A142" s="6" t="s">
        <v>654</v>
      </c>
      <c r="B142" s="6" t="s">
        <v>1831</v>
      </c>
      <c r="C142" s="6" t="s">
        <v>1832</v>
      </c>
      <c r="D142" s="6" t="s">
        <v>1833</v>
      </c>
      <c r="E142" s="6" t="s">
        <v>20</v>
      </c>
      <c r="F142" s="6" t="s">
        <v>224</v>
      </c>
      <c r="G142" s="6" t="s">
        <v>682</v>
      </c>
      <c r="H142" s="6" t="s">
        <v>65</v>
      </c>
      <c r="I142" s="6" t="s">
        <v>1834</v>
      </c>
      <c r="J142" s="6" t="s">
        <v>1835</v>
      </c>
      <c r="K142" s="7" t="n">
        <v>46204</v>
      </c>
      <c r="L142" s="6" t="s">
        <v>68</v>
      </c>
      <c r="M142" s="7"/>
      <c r="N142" s="8" t="n">
        <f aca="false">IF(M142&lt;&gt;"",M142-Summary!$C$3,IF(K142="","",K142-Summary!$C$3))</f>
        <v>-101</v>
      </c>
      <c r="O142" s="6" t="s">
        <v>5</v>
      </c>
      <c r="P142" s="6" t="s">
        <v>89</v>
      </c>
      <c r="Q142" s="6" t="s">
        <v>89</v>
      </c>
      <c r="R142" s="6" t="s">
        <v>1836</v>
      </c>
      <c r="S142" s="6" t="s">
        <v>1815</v>
      </c>
      <c r="T142" s="6" t="s">
        <v>89</v>
      </c>
      <c r="U142" s="6" t="s">
        <v>89</v>
      </c>
      <c r="V142" s="6" t="s">
        <v>1837</v>
      </c>
      <c r="W142" s="6" t="s">
        <v>89</v>
      </c>
      <c r="X142" s="6" t="s">
        <v>1838</v>
      </c>
      <c r="Y142" s="6" t="s">
        <v>1839</v>
      </c>
      <c r="Z142" s="6" t="s">
        <v>128</v>
      </c>
      <c r="AA142" s="6" t="s">
        <v>194</v>
      </c>
    </row>
    <row r="143" customFormat="false" ht="43.25" hidden="false" customHeight="false" outlineLevel="0" collapsed="false">
      <c r="A143" s="6" t="s">
        <v>1840</v>
      </c>
      <c r="B143" s="6" t="s">
        <v>1841</v>
      </c>
      <c r="C143" s="6" t="s">
        <v>1842</v>
      </c>
      <c r="D143" s="6" t="s">
        <v>1843</v>
      </c>
      <c r="E143" s="6" t="s">
        <v>20</v>
      </c>
      <c r="F143" s="6" t="s">
        <v>224</v>
      </c>
      <c r="G143" s="6" t="s">
        <v>682</v>
      </c>
      <c r="H143" s="6" t="s">
        <v>65</v>
      </c>
      <c r="I143" s="6" t="s">
        <v>1844</v>
      </c>
      <c r="J143" s="6" t="s">
        <v>1813</v>
      </c>
      <c r="K143" s="7" t="n">
        <v>46204</v>
      </c>
      <c r="L143" s="6" t="s">
        <v>68</v>
      </c>
      <c r="M143" s="7"/>
      <c r="N143" s="8" t="n">
        <f aca="false">IF(M143&lt;&gt;"",M143-Summary!$C$3,IF(K143="","",K143-Summary!$C$3))</f>
        <v>-101</v>
      </c>
      <c r="O143" s="6" t="s">
        <v>5</v>
      </c>
      <c r="P143" s="6" t="s">
        <v>1802</v>
      </c>
      <c r="Q143" s="6" t="s">
        <v>89</v>
      </c>
      <c r="R143" s="6" t="s">
        <v>1845</v>
      </c>
      <c r="S143" s="6" t="s">
        <v>1804</v>
      </c>
      <c r="T143" s="6" t="s">
        <v>89</v>
      </c>
      <c r="U143" s="6" t="s">
        <v>89</v>
      </c>
      <c r="V143" s="6" t="s">
        <v>1846</v>
      </c>
      <c r="W143" s="6" t="s">
        <v>89</v>
      </c>
      <c r="X143" s="6" t="s">
        <v>1806</v>
      </c>
      <c r="Y143" s="6" t="s">
        <v>1847</v>
      </c>
      <c r="Z143" s="6" t="s">
        <v>128</v>
      </c>
      <c r="AA143" s="6" t="s">
        <v>80</v>
      </c>
    </row>
    <row r="144" customFormat="false" ht="53.7" hidden="false" customHeight="false" outlineLevel="0" collapsed="false">
      <c r="A144" s="6" t="s">
        <v>1848</v>
      </c>
      <c r="B144" s="6" t="s">
        <v>1849</v>
      </c>
      <c r="C144" s="6" t="s">
        <v>1850</v>
      </c>
      <c r="D144" s="6" t="s">
        <v>1851</v>
      </c>
      <c r="E144" s="6" t="s">
        <v>20</v>
      </c>
      <c r="F144" s="6" t="s">
        <v>224</v>
      </c>
      <c r="G144" s="6" t="s">
        <v>682</v>
      </c>
      <c r="H144" s="6" t="s">
        <v>65</v>
      </c>
      <c r="I144" s="6" t="s">
        <v>1852</v>
      </c>
      <c r="J144" s="6" t="s">
        <v>1853</v>
      </c>
      <c r="K144" s="7" t="n">
        <v>46204</v>
      </c>
      <c r="L144" s="6" t="s">
        <v>68</v>
      </c>
      <c r="M144" s="7"/>
      <c r="N144" s="8" t="n">
        <f aca="false">IF(M144&lt;&gt;"",M144-Summary!$C$3,IF(K144="","",K144-Summary!$C$3))</f>
        <v>-101</v>
      </c>
      <c r="O144" s="6" t="s">
        <v>5</v>
      </c>
      <c r="P144" s="6" t="s">
        <v>1788</v>
      </c>
      <c r="Q144" s="6" t="s">
        <v>1789</v>
      </c>
      <c r="R144" s="6" t="s">
        <v>1854</v>
      </c>
      <c r="S144" s="6" t="s">
        <v>1855</v>
      </c>
      <c r="T144" s="6" t="s">
        <v>89</v>
      </c>
      <c r="U144" s="6" t="s">
        <v>1856</v>
      </c>
      <c r="V144" s="6" t="s">
        <v>1857</v>
      </c>
      <c r="W144" s="6" t="s">
        <v>89</v>
      </c>
      <c r="X144" s="6" t="s">
        <v>1794</v>
      </c>
      <c r="Y144" s="6" t="s">
        <v>1858</v>
      </c>
      <c r="Z144" s="6" t="s">
        <v>128</v>
      </c>
      <c r="AA144" s="6" t="s">
        <v>194</v>
      </c>
    </row>
    <row r="145" customFormat="false" ht="53.7" hidden="false" customHeight="false" outlineLevel="0" collapsed="false">
      <c r="A145" s="6" t="s">
        <v>1859</v>
      </c>
      <c r="B145" s="6" t="s">
        <v>1860</v>
      </c>
      <c r="C145" s="6" t="s">
        <v>1859</v>
      </c>
      <c r="D145" s="6" t="s">
        <v>1861</v>
      </c>
      <c r="E145" s="6" t="s">
        <v>20</v>
      </c>
      <c r="F145" s="6" t="s">
        <v>224</v>
      </c>
      <c r="G145" s="6" t="s">
        <v>682</v>
      </c>
      <c r="H145" s="6" t="s">
        <v>344</v>
      </c>
      <c r="I145" s="6" t="s">
        <v>1862</v>
      </c>
      <c r="J145" s="6" t="s">
        <v>1853</v>
      </c>
      <c r="K145" s="7" t="n">
        <v>46204</v>
      </c>
      <c r="L145" s="6" t="s">
        <v>68</v>
      </c>
      <c r="M145" s="7"/>
      <c r="N145" s="8" t="n">
        <f aca="false">IF(M145&lt;&gt;"",M145-Summary!$C$3,IF(K145="","",K145-Summary!$C$3))</f>
        <v>-101</v>
      </c>
      <c r="O145" s="6" t="s">
        <v>5</v>
      </c>
      <c r="P145" s="6" t="s">
        <v>1788</v>
      </c>
      <c r="Q145" s="6" t="s">
        <v>1789</v>
      </c>
      <c r="R145" s="6" t="s">
        <v>1854</v>
      </c>
      <c r="S145" s="6" t="s">
        <v>1855</v>
      </c>
      <c r="T145" s="6" t="s">
        <v>89</v>
      </c>
      <c r="U145" s="6" t="s">
        <v>1856</v>
      </c>
      <c r="V145" s="6" t="s">
        <v>1857</v>
      </c>
      <c r="W145" s="6" t="s">
        <v>89</v>
      </c>
      <c r="X145" s="6" t="s">
        <v>1794</v>
      </c>
      <c r="Y145" s="6" t="s">
        <v>1863</v>
      </c>
      <c r="Z145" s="6" t="s">
        <v>128</v>
      </c>
      <c r="AA145" s="6" t="s">
        <v>194</v>
      </c>
    </row>
    <row r="146" customFormat="false" ht="53.7" hidden="false" customHeight="false" outlineLevel="0" collapsed="false">
      <c r="A146" s="6" t="s">
        <v>1864</v>
      </c>
      <c r="B146" s="6" t="s">
        <v>1864</v>
      </c>
      <c r="C146" s="6" t="s">
        <v>1865</v>
      </c>
      <c r="D146" s="6" t="s">
        <v>1866</v>
      </c>
      <c r="E146" s="6" t="s">
        <v>20</v>
      </c>
      <c r="F146" s="6" t="s">
        <v>224</v>
      </c>
      <c r="G146" s="6" t="s">
        <v>682</v>
      </c>
      <c r="H146" s="6" t="s">
        <v>65</v>
      </c>
      <c r="I146" s="6" t="s">
        <v>1867</v>
      </c>
      <c r="J146" s="6" t="s">
        <v>1813</v>
      </c>
      <c r="K146" s="7" t="n">
        <v>46204</v>
      </c>
      <c r="L146" s="6" t="s">
        <v>68</v>
      </c>
      <c r="M146" s="7"/>
      <c r="N146" s="8" t="n">
        <f aca="false">IF(M146&lt;&gt;"",M146-Summary!$C$3,IF(K146="","",K146-Summary!$C$3))</f>
        <v>-101</v>
      </c>
      <c r="O146" s="6" t="s">
        <v>5</v>
      </c>
      <c r="P146" s="6" t="s">
        <v>89</v>
      </c>
      <c r="Q146" s="6" t="s">
        <v>110</v>
      </c>
      <c r="R146" s="6" t="s">
        <v>1868</v>
      </c>
      <c r="S146" s="6" t="s">
        <v>1815</v>
      </c>
      <c r="T146" s="6" t="s">
        <v>89</v>
      </c>
      <c r="U146" s="6" t="s">
        <v>89</v>
      </c>
      <c r="V146" s="6" t="s">
        <v>1869</v>
      </c>
      <c r="W146" s="6" t="s">
        <v>89</v>
      </c>
      <c r="X146" s="6" t="s">
        <v>1817</v>
      </c>
      <c r="Y146" s="6" t="s">
        <v>1870</v>
      </c>
      <c r="Z146" s="6" t="s">
        <v>1871</v>
      </c>
      <c r="AA146" s="6" t="s">
        <v>194</v>
      </c>
    </row>
    <row r="147" customFormat="false" ht="64.15" hidden="false" customHeight="false" outlineLevel="0" collapsed="false">
      <c r="A147" s="6" t="s">
        <v>1872</v>
      </c>
      <c r="B147" s="6" t="s">
        <v>1873</v>
      </c>
      <c r="C147" s="6" t="s">
        <v>1872</v>
      </c>
      <c r="D147" s="6" t="s">
        <v>1874</v>
      </c>
      <c r="E147" s="6" t="s">
        <v>20</v>
      </c>
      <c r="F147" s="6" t="s">
        <v>224</v>
      </c>
      <c r="G147" s="6" t="s">
        <v>682</v>
      </c>
      <c r="H147" s="6" t="s">
        <v>65</v>
      </c>
      <c r="I147" s="6" t="s">
        <v>1875</v>
      </c>
      <c r="J147" s="6" t="s">
        <v>1876</v>
      </c>
      <c r="K147" s="7" t="n">
        <v>46204</v>
      </c>
      <c r="L147" s="6" t="s">
        <v>68</v>
      </c>
      <c r="M147" s="7"/>
      <c r="N147" s="8" t="n">
        <f aca="false">IF(M147&lt;&gt;"",M147-Summary!$C$3,IF(K147="","",K147-Summary!$C$3))</f>
        <v>-101</v>
      </c>
      <c r="O147" s="6" t="s">
        <v>5</v>
      </c>
      <c r="P147" s="6" t="s">
        <v>1877</v>
      </c>
      <c r="Q147" s="6" t="s">
        <v>89</v>
      </c>
      <c r="R147" s="6" t="s">
        <v>1878</v>
      </c>
      <c r="S147" s="6" t="s">
        <v>1879</v>
      </c>
      <c r="T147" s="6" t="s">
        <v>89</v>
      </c>
      <c r="U147" s="6" t="s">
        <v>89</v>
      </c>
      <c r="V147" s="6" t="s">
        <v>1880</v>
      </c>
      <c r="W147" s="6" t="s">
        <v>89</v>
      </c>
      <c r="X147" s="6" t="s">
        <v>89</v>
      </c>
      <c r="Y147" s="6" t="s">
        <v>1881</v>
      </c>
      <c r="Z147" s="6" t="s">
        <v>128</v>
      </c>
      <c r="AA147" s="6" t="s">
        <v>80</v>
      </c>
    </row>
    <row r="148" customFormat="false" ht="64.15" hidden="false" customHeight="false" outlineLevel="0" collapsed="false">
      <c r="A148" s="6" t="s">
        <v>1882</v>
      </c>
      <c r="B148" s="6" t="s">
        <v>1882</v>
      </c>
      <c r="C148" s="6" t="s">
        <v>1882</v>
      </c>
      <c r="D148" s="6" t="s">
        <v>1883</v>
      </c>
      <c r="E148" s="6" t="s">
        <v>20</v>
      </c>
      <c r="F148" s="6" t="s">
        <v>224</v>
      </c>
      <c r="G148" s="6" t="s">
        <v>682</v>
      </c>
      <c r="H148" s="6" t="s">
        <v>65</v>
      </c>
      <c r="I148" s="6" t="s">
        <v>1884</v>
      </c>
      <c r="J148" s="6" t="s">
        <v>1885</v>
      </c>
      <c r="K148" s="7" t="n">
        <v>46295</v>
      </c>
      <c r="L148" s="6" t="s">
        <v>68</v>
      </c>
      <c r="M148" s="7"/>
      <c r="N148" s="8" t="n">
        <f aca="false">IF(M148&lt;&gt;"",M148-Summary!$C$3,IF(K148="","",K148-Summary!$C$3))</f>
        <v>-10</v>
      </c>
      <c r="O148" s="6" t="s">
        <v>5</v>
      </c>
      <c r="P148" s="6" t="s">
        <v>89</v>
      </c>
      <c r="Q148" s="6" t="s">
        <v>110</v>
      </c>
      <c r="R148" s="6" t="s">
        <v>1868</v>
      </c>
      <c r="S148" s="6" t="s">
        <v>1815</v>
      </c>
      <c r="T148" s="6" t="s">
        <v>89</v>
      </c>
      <c r="U148" s="6" t="s">
        <v>89</v>
      </c>
      <c r="V148" s="6" t="s">
        <v>1869</v>
      </c>
      <c r="W148" s="6" t="s">
        <v>89</v>
      </c>
      <c r="X148" s="6" t="s">
        <v>1817</v>
      </c>
      <c r="Y148" s="6" t="s">
        <v>1886</v>
      </c>
      <c r="Z148" s="6" t="s">
        <v>128</v>
      </c>
      <c r="AA148" s="6" t="s">
        <v>194</v>
      </c>
    </row>
    <row r="149" customFormat="false" ht="53.7" hidden="false" customHeight="false" outlineLevel="0" collapsed="false">
      <c r="A149" s="6" t="s">
        <v>1887</v>
      </c>
      <c r="B149" s="6" t="s">
        <v>1888</v>
      </c>
      <c r="C149" s="6" t="s">
        <v>1889</v>
      </c>
      <c r="D149" s="6" t="s">
        <v>1890</v>
      </c>
      <c r="E149" s="6" t="s">
        <v>20</v>
      </c>
      <c r="F149" s="6" t="s">
        <v>224</v>
      </c>
      <c r="G149" s="6" t="s">
        <v>682</v>
      </c>
      <c r="H149" s="6" t="s">
        <v>65</v>
      </c>
      <c r="I149" s="6" t="s">
        <v>1891</v>
      </c>
      <c r="J149" s="6" t="s">
        <v>1892</v>
      </c>
      <c r="K149" s="7" t="n">
        <v>46204</v>
      </c>
      <c r="L149" s="6" t="s">
        <v>68</v>
      </c>
      <c r="M149" s="7"/>
      <c r="N149" s="8" t="n">
        <f aca="false">IF(M149&lt;&gt;"",M149-Summary!$C$3,IF(K149="","",K149-Summary!$C$3))</f>
        <v>-101</v>
      </c>
      <c r="O149" s="6" t="s">
        <v>5</v>
      </c>
      <c r="P149" s="6" t="s">
        <v>89</v>
      </c>
      <c r="Q149" s="6" t="s">
        <v>89</v>
      </c>
      <c r="R149" s="6" t="s">
        <v>1893</v>
      </c>
      <c r="S149" s="6" t="s">
        <v>1855</v>
      </c>
      <c r="T149" s="6" t="s">
        <v>89</v>
      </c>
      <c r="U149" s="6" t="s">
        <v>89</v>
      </c>
      <c r="V149" s="6" t="s">
        <v>1894</v>
      </c>
      <c r="W149" s="6" t="s">
        <v>1895</v>
      </c>
      <c r="X149" s="6" t="s">
        <v>89</v>
      </c>
      <c r="Y149" s="6" t="s">
        <v>1896</v>
      </c>
      <c r="Z149" s="6" t="s">
        <v>128</v>
      </c>
      <c r="AA149" s="6" t="s">
        <v>194</v>
      </c>
    </row>
    <row r="150" customFormat="false" ht="64.15" hidden="false" customHeight="false" outlineLevel="0" collapsed="false">
      <c r="A150" s="6" t="s">
        <v>1897</v>
      </c>
      <c r="B150" s="6" t="s">
        <v>1897</v>
      </c>
      <c r="C150" s="6" t="s">
        <v>1898</v>
      </c>
      <c r="D150" s="6" t="s">
        <v>1899</v>
      </c>
      <c r="E150" s="6" t="s">
        <v>20</v>
      </c>
      <c r="F150" s="6" t="s">
        <v>224</v>
      </c>
      <c r="G150" s="6" t="s">
        <v>682</v>
      </c>
      <c r="H150" s="6" t="s">
        <v>65</v>
      </c>
      <c r="I150" s="6" t="s">
        <v>1900</v>
      </c>
      <c r="J150" s="6" t="s">
        <v>1813</v>
      </c>
      <c r="K150" s="7" t="n">
        <v>46204</v>
      </c>
      <c r="L150" s="6" t="s">
        <v>68</v>
      </c>
      <c r="M150" s="7"/>
      <c r="N150" s="8" t="n">
        <f aca="false">IF(M150&lt;&gt;"",M150-Summary!$C$3,IF(K150="","",K150-Summary!$C$3))</f>
        <v>-101</v>
      </c>
      <c r="O150" s="6" t="s">
        <v>5</v>
      </c>
      <c r="P150" s="6" t="s">
        <v>89</v>
      </c>
      <c r="Q150" s="6" t="s">
        <v>110</v>
      </c>
      <c r="R150" s="6" t="s">
        <v>1868</v>
      </c>
      <c r="S150" s="6" t="s">
        <v>1815</v>
      </c>
      <c r="T150" s="6" t="s">
        <v>89</v>
      </c>
      <c r="U150" s="6" t="s">
        <v>89</v>
      </c>
      <c r="V150" s="6" t="s">
        <v>1869</v>
      </c>
      <c r="W150" s="6" t="s">
        <v>89</v>
      </c>
      <c r="X150" s="6" t="s">
        <v>1817</v>
      </c>
      <c r="Y150" s="6" t="s">
        <v>1901</v>
      </c>
      <c r="Z150" s="6" t="s">
        <v>128</v>
      </c>
      <c r="AA150" s="6" t="s">
        <v>194</v>
      </c>
    </row>
    <row r="151" customFormat="false" ht="53.7" hidden="false" customHeight="false" outlineLevel="0" collapsed="false">
      <c r="A151" s="6" t="s">
        <v>1902</v>
      </c>
      <c r="B151" s="6" t="s">
        <v>1902</v>
      </c>
      <c r="C151" s="6" t="s">
        <v>1902</v>
      </c>
      <c r="D151" s="6" t="s">
        <v>1903</v>
      </c>
      <c r="E151" s="6" t="s">
        <v>20</v>
      </c>
      <c r="F151" s="6" t="s">
        <v>224</v>
      </c>
      <c r="G151" s="6" t="s">
        <v>682</v>
      </c>
      <c r="H151" s="6" t="s">
        <v>65</v>
      </c>
      <c r="I151" s="6" t="s">
        <v>1904</v>
      </c>
      <c r="J151" s="6" t="s">
        <v>1892</v>
      </c>
      <c r="K151" s="7" t="n">
        <v>46204</v>
      </c>
      <c r="L151" s="6" t="s">
        <v>68</v>
      </c>
      <c r="M151" s="7"/>
      <c r="N151" s="8" t="n">
        <f aca="false">IF(M151&lt;&gt;"",M151-Summary!$C$3,IF(K151="","",K151-Summary!$C$3))</f>
        <v>-101</v>
      </c>
      <c r="O151" s="6" t="s">
        <v>5</v>
      </c>
      <c r="P151" s="6" t="s">
        <v>89</v>
      </c>
      <c r="Q151" s="6" t="s">
        <v>89</v>
      </c>
      <c r="R151" s="6" t="s">
        <v>1893</v>
      </c>
      <c r="S151" s="6" t="s">
        <v>1855</v>
      </c>
      <c r="T151" s="6" t="s">
        <v>89</v>
      </c>
      <c r="U151" s="6" t="s">
        <v>89</v>
      </c>
      <c r="V151" s="6" t="s">
        <v>1905</v>
      </c>
      <c r="W151" s="6" t="s">
        <v>1895</v>
      </c>
      <c r="X151" s="6" t="s">
        <v>89</v>
      </c>
      <c r="Y151" s="6" t="s">
        <v>1906</v>
      </c>
      <c r="Z151" s="6" t="s">
        <v>128</v>
      </c>
      <c r="AA151" s="6" t="s">
        <v>194</v>
      </c>
    </row>
    <row r="152" customFormat="false" ht="53.7" hidden="false" customHeight="false" outlineLevel="0" collapsed="false">
      <c r="A152" s="6" t="s">
        <v>1907</v>
      </c>
      <c r="B152" s="6" t="s">
        <v>1908</v>
      </c>
      <c r="C152" s="6" t="s">
        <v>1909</v>
      </c>
      <c r="D152" s="6" t="s">
        <v>1910</v>
      </c>
      <c r="E152" s="6" t="s">
        <v>20</v>
      </c>
      <c r="F152" s="6" t="s">
        <v>224</v>
      </c>
      <c r="G152" s="6" t="s">
        <v>682</v>
      </c>
      <c r="H152" s="6" t="s">
        <v>65</v>
      </c>
      <c r="I152" s="6" t="s">
        <v>1911</v>
      </c>
      <c r="J152" s="6" t="s">
        <v>1892</v>
      </c>
      <c r="K152" s="7" t="n">
        <v>46204</v>
      </c>
      <c r="L152" s="6" t="s">
        <v>68</v>
      </c>
      <c r="M152" s="7"/>
      <c r="N152" s="8" t="n">
        <f aca="false">IF(M152&lt;&gt;"",M152-Summary!$C$3,IF(K152="","",K152-Summary!$C$3))</f>
        <v>-101</v>
      </c>
      <c r="O152" s="6" t="s">
        <v>5</v>
      </c>
      <c r="P152" s="6" t="s">
        <v>89</v>
      </c>
      <c r="Q152" s="6" t="s">
        <v>89</v>
      </c>
      <c r="R152" s="6" t="s">
        <v>1893</v>
      </c>
      <c r="S152" s="6" t="s">
        <v>1912</v>
      </c>
      <c r="T152" s="6" t="s">
        <v>89</v>
      </c>
      <c r="U152" s="6" t="s">
        <v>89</v>
      </c>
      <c r="V152" s="6" t="s">
        <v>1905</v>
      </c>
      <c r="W152" s="6" t="s">
        <v>1895</v>
      </c>
      <c r="X152" s="6" t="s">
        <v>89</v>
      </c>
      <c r="Y152" s="6" t="s">
        <v>1913</v>
      </c>
      <c r="Z152" s="6" t="s">
        <v>128</v>
      </c>
      <c r="AA152" s="6" t="s">
        <v>194</v>
      </c>
    </row>
    <row r="153" customFormat="false" ht="74.6" hidden="false" customHeight="false" outlineLevel="0" collapsed="false">
      <c r="A153" s="6" t="s">
        <v>1749</v>
      </c>
      <c r="B153" s="6" t="s">
        <v>1749</v>
      </c>
      <c r="C153" s="6" t="s">
        <v>1750</v>
      </c>
      <c r="D153" s="6" t="s">
        <v>1914</v>
      </c>
      <c r="E153" s="6" t="s">
        <v>20</v>
      </c>
      <c r="F153" s="6" t="s">
        <v>224</v>
      </c>
      <c r="G153" s="6" t="s">
        <v>682</v>
      </c>
      <c r="H153" s="6" t="s">
        <v>65</v>
      </c>
      <c r="I153" s="6" t="s">
        <v>1915</v>
      </c>
      <c r="J153" s="6" t="s">
        <v>1916</v>
      </c>
      <c r="K153" s="7" t="n">
        <v>46204</v>
      </c>
      <c r="L153" s="6" t="s">
        <v>68</v>
      </c>
      <c r="M153" s="7"/>
      <c r="N153" s="8" t="n">
        <f aca="false">IF(M153&lt;&gt;"",M153-Summary!$C$3,IF(K153="","",K153-Summary!$C$3))</f>
        <v>-101</v>
      </c>
      <c r="O153" s="6" t="s">
        <v>5</v>
      </c>
      <c r="P153" s="6" t="s">
        <v>89</v>
      </c>
      <c r="Q153" s="6" t="s">
        <v>89</v>
      </c>
      <c r="R153" s="6" t="s">
        <v>1917</v>
      </c>
      <c r="S153" s="6" t="s">
        <v>1815</v>
      </c>
      <c r="T153" s="6" t="s">
        <v>89</v>
      </c>
      <c r="U153" s="6" t="s">
        <v>1918</v>
      </c>
      <c r="V153" s="6" t="s">
        <v>1919</v>
      </c>
      <c r="W153" s="6" t="s">
        <v>89</v>
      </c>
      <c r="X153" s="6" t="s">
        <v>1920</v>
      </c>
      <c r="Y153" s="6" t="s">
        <v>1921</v>
      </c>
      <c r="Z153" s="6" t="s">
        <v>79</v>
      </c>
      <c r="AA153" s="6" t="s">
        <v>80</v>
      </c>
    </row>
    <row r="154" customFormat="false" ht="74.6" hidden="false" customHeight="false" outlineLevel="0" collapsed="false">
      <c r="A154" s="6" t="s">
        <v>1922</v>
      </c>
      <c r="B154" s="6" t="s">
        <v>1923</v>
      </c>
      <c r="C154" s="6" t="s">
        <v>1922</v>
      </c>
      <c r="D154" s="6" t="s">
        <v>1924</v>
      </c>
      <c r="E154" s="6" t="s">
        <v>21</v>
      </c>
      <c r="F154" s="6" t="s">
        <v>289</v>
      </c>
      <c r="G154" s="6" t="s">
        <v>122</v>
      </c>
      <c r="H154" s="6" t="s">
        <v>568</v>
      </c>
      <c r="I154" s="6" t="s">
        <v>1925</v>
      </c>
      <c r="J154" s="6" t="s">
        <v>1926</v>
      </c>
      <c r="K154" s="7" t="n">
        <v>45761</v>
      </c>
      <c r="L154" s="6" t="s">
        <v>68</v>
      </c>
      <c r="M154" s="7"/>
      <c r="N154" s="8" t="n">
        <f aca="false">IF(M154&lt;&gt;"",M154-Summary!$C$3,IF(K154="","",K154-Summary!$C$3))</f>
        <v>-544</v>
      </c>
      <c r="O154" s="6" t="s">
        <v>6</v>
      </c>
      <c r="P154" s="6" t="s">
        <v>69</v>
      </c>
      <c r="Q154" s="6" t="s">
        <v>584</v>
      </c>
      <c r="R154" s="6" t="s">
        <v>1927</v>
      </c>
      <c r="S154" s="6" t="s">
        <v>1928</v>
      </c>
      <c r="T154" s="6" t="s">
        <v>1929</v>
      </c>
      <c r="U154" s="6" t="s">
        <v>89</v>
      </c>
      <c r="V154" s="6" t="s">
        <v>1930</v>
      </c>
      <c r="W154" s="6" t="s">
        <v>1931</v>
      </c>
      <c r="X154" s="6" t="s">
        <v>1932</v>
      </c>
      <c r="Y154" s="6" t="s">
        <v>1933</v>
      </c>
      <c r="Z154" s="6" t="s">
        <v>79</v>
      </c>
      <c r="AA154" s="6" t="s">
        <v>80</v>
      </c>
    </row>
    <row r="155" customFormat="false" ht="43.25" hidden="false" customHeight="false" outlineLevel="0" collapsed="false">
      <c r="A155" s="6" t="s">
        <v>436</v>
      </c>
      <c r="B155" s="6" t="s">
        <v>437</v>
      </c>
      <c r="C155" s="6" t="s">
        <v>436</v>
      </c>
      <c r="D155" s="6" t="s">
        <v>1934</v>
      </c>
      <c r="E155" s="6" t="s">
        <v>26</v>
      </c>
      <c r="F155" s="6" t="s">
        <v>1935</v>
      </c>
      <c r="G155" s="6" t="s">
        <v>122</v>
      </c>
      <c r="H155" s="6" t="s">
        <v>65</v>
      </c>
      <c r="I155" s="6" t="s">
        <v>1936</v>
      </c>
      <c r="J155" s="6" t="s">
        <v>1937</v>
      </c>
      <c r="K155" s="7" t="n">
        <v>45991</v>
      </c>
      <c r="L155" s="6" t="s">
        <v>68</v>
      </c>
      <c r="M155" s="7"/>
      <c r="N155" s="8" t="n">
        <f aca="false">IF(M155&lt;&gt;"",M155-Summary!$C$3,IF(K155="","",K155-Summary!$C$3))</f>
        <v>-314</v>
      </c>
      <c r="O155" s="6" t="s">
        <v>6</v>
      </c>
      <c r="P155" s="6" t="s">
        <v>776</v>
      </c>
      <c r="Q155" s="6" t="s">
        <v>1938</v>
      </c>
      <c r="R155" s="6" t="s">
        <v>1939</v>
      </c>
      <c r="S155" s="6" t="s">
        <v>1940</v>
      </c>
      <c r="T155" s="6" t="s">
        <v>89</v>
      </c>
      <c r="U155" s="6" t="s">
        <v>89</v>
      </c>
      <c r="V155" s="6" t="s">
        <v>89</v>
      </c>
      <c r="W155" s="6" t="s">
        <v>1294</v>
      </c>
      <c r="X155" s="6" t="s">
        <v>1941</v>
      </c>
      <c r="Y155" s="6" t="s">
        <v>1942</v>
      </c>
      <c r="Z155" s="6" t="s">
        <v>128</v>
      </c>
      <c r="AA155" s="6" t="s">
        <v>194</v>
      </c>
    </row>
    <row r="156" customFormat="false" ht="43.25" hidden="false" customHeight="false" outlineLevel="0" collapsed="false">
      <c r="A156" s="6" t="s">
        <v>550</v>
      </c>
      <c r="B156" s="6" t="s">
        <v>551</v>
      </c>
      <c r="C156" s="6" t="s">
        <v>550</v>
      </c>
      <c r="D156" s="6" t="s">
        <v>1943</v>
      </c>
      <c r="E156" s="6" t="s">
        <v>17</v>
      </c>
      <c r="F156" s="6" t="s">
        <v>427</v>
      </c>
      <c r="G156" s="6" t="s">
        <v>122</v>
      </c>
      <c r="H156" s="6" t="s">
        <v>1944</v>
      </c>
      <c r="I156" s="6" t="s">
        <v>1945</v>
      </c>
      <c r="J156" s="6" t="s">
        <v>1946</v>
      </c>
      <c r="K156" s="7" t="n">
        <v>46123</v>
      </c>
      <c r="L156" s="6" t="s">
        <v>68</v>
      </c>
      <c r="M156" s="7"/>
      <c r="N156" s="8" t="n">
        <f aca="false">IF(M156&lt;&gt;"",M156-Summary!$C$3,IF(K156="","",K156-Summary!$C$3))</f>
        <v>-182</v>
      </c>
      <c r="O156" s="6" t="s">
        <v>6</v>
      </c>
      <c r="P156" s="6" t="s">
        <v>89</v>
      </c>
      <c r="Q156" s="6" t="s">
        <v>1947</v>
      </c>
      <c r="R156" s="6" t="s">
        <v>89</v>
      </c>
      <c r="S156" s="6" t="s">
        <v>1948</v>
      </c>
      <c r="T156" s="6" t="s">
        <v>89</v>
      </c>
      <c r="U156" s="6" t="s">
        <v>89</v>
      </c>
      <c r="V156" s="6" t="s">
        <v>89</v>
      </c>
      <c r="W156" s="6" t="s">
        <v>89</v>
      </c>
      <c r="X156" s="6" t="s">
        <v>89</v>
      </c>
      <c r="Y156" s="6" t="s">
        <v>1949</v>
      </c>
      <c r="Z156" s="6" t="s">
        <v>128</v>
      </c>
      <c r="AA156" s="6" t="s">
        <v>80</v>
      </c>
    </row>
    <row r="157" customFormat="false" ht="53.7" hidden="false" customHeight="false" outlineLevel="0" collapsed="false">
      <c r="A157" s="6" t="s">
        <v>1950</v>
      </c>
      <c r="B157" s="6" t="s">
        <v>1951</v>
      </c>
      <c r="C157" s="6" t="s">
        <v>1952</v>
      </c>
      <c r="D157" s="6" t="s">
        <v>1953</v>
      </c>
      <c r="E157" s="6" t="s">
        <v>17</v>
      </c>
      <c r="F157" s="6" t="s">
        <v>147</v>
      </c>
      <c r="G157" s="6" t="s">
        <v>122</v>
      </c>
      <c r="H157" s="6" t="s">
        <v>988</v>
      </c>
      <c r="I157" s="6" t="s">
        <v>1954</v>
      </c>
      <c r="J157" s="6" t="s">
        <v>1955</v>
      </c>
      <c r="K157" s="7" t="n">
        <v>45930</v>
      </c>
      <c r="L157" s="6" t="s">
        <v>68</v>
      </c>
      <c r="M157" s="7"/>
      <c r="N157" s="8" t="n">
        <f aca="false">IF(M157&lt;&gt;"",M157-Summary!$C$3,IF(K157="","",K157-Summary!$C$3))</f>
        <v>-375</v>
      </c>
      <c r="O157" s="6" t="s">
        <v>6</v>
      </c>
      <c r="P157" s="6" t="s">
        <v>1956</v>
      </c>
      <c r="Q157" s="6" t="s">
        <v>1957</v>
      </c>
      <c r="R157" s="6" t="s">
        <v>1958</v>
      </c>
      <c r="S157" s="6" t="s">
        <v>1959</v>
      </c>
      <c r="T157" s="6" t="s">
        <v>89</v>
      </c>
      <c r="U157" s="6" t="s">
        <v>89</v>
      </c>
      <c r="V157" s="6" t="s">
        <v>89</v>
      </c>
      <c r="W157" s="6" t="s">
        <v>89</v>
      </c>
      <c r="X157" s="6" t="s">
        <v>1960</v>
      </c>
      <c r="Y157" s="6" t="s">
        <v>1961</v>
      </c>
      <c r="Z157" s="6" t="s">
        <v>79</v>
      </c>
      <c r="AA157" s="6" t="s">
        <v>80</v>
      </c>
    </row>
    <row r="158" customFormat="false" ht="53.7" hidden="false" customHeight="false" outlineLevel="0" collapsed="false">
      <c r="A158" s="6" t="s">
        <v>1848</v>
      </c>
      <c r="B158" s="6" t="s">
        <v>1962</v>
      </c>
      <c r="C158" s="6" t="s">
        <v>1850</v>
      </c>
      <c r="D158" s="6" t="s">
        <v>1963</v>
      </c>
      <c r="E158" s="6" t="s">
        <v>25</v>
      </c>
      <c r="F158" s="6" t="s">
        <v>162</v>
      </c>
      <c r="G158" s="6" t="s">
        <v>1964</v>
      </c>
      <c r="H158" s="6" t="s">
        <v>65</v>
      </c>
      <c r="I158" s="6" t="s">
        <v>1965</v>
      </c>
      <c r="J158" s="6" t="s">
        <v>1966</v>
      </c>
      <c r="K158" s="7" t="n">
        <v>46204</v>
      </c>
      <c r="L158" s="6" t="s">
        <v>68</v>
      </c>
      <c r="M158" s="7"/>
      <c r="N158" s="8" t="n">
        <f aca="false">IF(M158&lt;&gt;"",M158-Summary!$C$3,IF(K158="","",K158-Summary!$C$3))</f>
        <v>-101</v>
      </c>
      <c r="O158" s="6" t="s">
        <v>6</v>
      </c>
      <c r="P158" s="6" t="s">
        <v>1967</v>
      </c>
      <c r="Q158" s="6" t="s">
        <v>1968</v>
      </c>
      <c r="R158" s="6" t="s">
        <v>1969</v>
      </c>
      <c r="S158" s="6" t="s">
        <v>1970</v>
      </c>
      <c r="T158" s="6" t="s">
        <v>89</v>
      </c>
      <c r="U158" s="6" t="s">
        <v>1971</v>
      </c>
      <c r="V158" s="6" t="s">
        <v>1972</v>
      </c>
      <c r="W158" s="6" t="s">
        <v>1973</v>
      </c>
      <c r="X158" s="6" t="s">
        <v>1974</v>
      </c>
      <c r="Y158" s="6" t="s">
        <v>1975</v>
      </c>
      <c r="Z158" s="6" t="s">
        <v>128</v>
      </c>
      <c r="AA158" s="6" t="s">
        <v>80</v>
      </c>
    </row>
    <row r="159" customFormat="false" ht="53.7" hidden="false" customHeight="false" outlineLevel="0" collapsed="false">
      <c r="A159" s="6" t="s">
        <v>1848</v>
      </c>
      <c r="B159" s="6" t="s">
        <v>1962</v>
      </c>
      <c r="C159" s="6" t="s">
        <v>1850</v>
      </c>
      <c r="D159" s="6" t="s">
        <v>1976</v>
      </c>
      <c r="E159" s="6" t="s">
        <v>25</v>
      </c>
      <c r="F159" s="6" t="s">
        <v>224</v>
      </c>
      <c r="G159" s="6" t="s">
        <v>1977</v>
      </c>
      <c r="H159" s="6" t="s">
        <v>65</v>
      </c>
      <c r="I159" s="6" t="s">
        <v>1965</v>
      </c>
      <c r="J159" s="6" t="s">
        <v>1978</v>
      </c>
      <c r="K159" s="7" t="n">
        <v>46204</v>
      </c>
      <c r="L159" s="6" t="s">
        <v>68</v>
      </c>
      <c r="M159" s="7"/>
      <c r="N159" s="8" t="n">
        <f aca="false">IF(M159&lt;&gt;"",M159-Summary!$C$3,IF(K159="","",K159-Summary!$C$3))</f>
        <v>-101</v>
      </c>
      <c r="O159" s="6" t="s">
        <v>6</v>
      </c>
      <c r="P159" s="6" t="s">
        <v>1979</v>
      </c>
      <c r="Q159" s="6" t="s">
        <v>1980</v>
      </c>
      <c r="R159" s="6" t="s">
        <v>1981</v>
      </c>
      <c r="S159" s="6" t="s">
        <v>1982</v>
      </c>
      <c r="T159" s="6" t="s">
        <v>89</v>
      </c>
      <c r="U159" s="6" t="s">
        <v>1983</v>
      </c>
      <c r="V159" s="6" t="s">
        <v>1984</v>
      </c>
      <c r="W159" s="6" t="s">
        <v>1985</v>
      </c>
      <c r="X159" s="6" t="s">
        <v>1986</v>
      </c>
      <c r="Y159" s="6" t="s">
        <v>1987</v>
      </c>
      <c r="Z159" s="6" t="s">
        <v>79</v>
      </c>
      <c r="AA159" s="6" t="s">
        <v>80</v>
      </c>
    </row>
    <row r="160" customFormat="false" ht="74.6" hidden="false" customHeight="false" outlineLevel="0" collapsed="false">
      <c r="A160" s="6" t="s">
        <v>983</v>
      </c>
      <c r="B160" s="6" t="s">
        <v>984</v>
      </c>
      <c r="C160" s="6" t="s">
        <v>985</v>
      </c>
      <c r="D160" s="6" t="s">
        <v>1988</v>
      </c>
      <c r="E160" s="6" t="s">
        <v>26</v>
      </c>
      <c r="F160" s="6" t="s">
        <v>1989</v>
      </c>
      <c r="G160" s="6" t="s">
        <v>1990</v>
      </c>
      <c r="H160" s="6" t="s">
        <v>568</v>
      </c>
      <c r="I160" s="6" t="s">
        <v>1991</v>
      </c>
      <c r="J160" s="6" t="s">
        <v>1992</v>
      </c>
      <c r="K160" s="7" t="n">
        <v>46203</v>
      </c>
      <c r="L160" s="6" t="s">
        <v>68</v>
      </c>
      <c r="M160" s="7"/>
      <c r="N160" s="8" t="n">
        <f aca="false">IF(M160&lt;&gt;"",M160-Summary!$C$3,IF(K160="","",K160-Summary!$C$3))</f>
        <v>-102</v>
      </c>
      <c r="O160" s="6" t="s">
        <v>6</v>
      </c>
      <c r="P160" s="6" t="s">
        <v>150</v>
      </c>
      <c r="Q160" s="6" t="s">
        <v>1993</v>
      </c>
      <c r="R160" s="6" t="s">
        <v>1994</v>
      </c>
      <c r="S160" s="6" t="s">
        <v>1995</v>
      </c>
      <c r="T160" s="6" t="s">
        <v>1996</v>
      </c>
      <c r="U160" s="6" t="s">
        <v>1997</v>
      </c>
      <c r="V160" s="6" t="s">
        <v>1998</v>
      </c>
      <c r="W160" s="6" t="s">
        <v>1999</v>
      </c>
      <c r="X160" s="6" t="s">
        <v>2000</v>
      </c>
      <c r="Y160" s="6" t="s">
        <v>2001</v>
      </c>
      <c r="Z160" s="6" t="s">
        <v>128</v>
      </c>
      <c r="AA160" s="6" t="s">
        <v>194</v>
      </c>
    </row>
    <row r="161" customFormat="false" ht="53.7" hidden="false" customHeight="false" outlineLevel="0" collapsed="false">
      <c r="A161" s="6" t="s">
        <v>1021</v>
      </c>
      <c r="B161" s="6" t="s">
        <v>1021</v>
      </c>
      <c r="C161" s="6" t="s">
        <v>2002</v>
      </c>
      <c r="D161" s="6" t="s">
        <v>2003</v>
      </c>
      <c r="E161" s="6" t="s">
        <v>23</v>
      </c>
      <c r="F161" s="6" t="s">
        <v>1001</v>
      </c>
      <c r="G161" s="6" t="s">
        <v>2004</v>
      </c>
      <c r="H161" s="6" t="s">
        <v>344</v>
      </c>
      <c r="I161" s="6" t="s">
        <v>2005</v>
      </c>
      <c r="J161" s="6" t="s">
        <v>89</v>
      </c>
      <c r="K161" s="7"/>
      <c r="L161" s="6" t="s">
        <v>88</v>
      </c>
      <c r="M161" s="7"/>
      <c r="N161" s="8" t="str">
        <f aca="false">IF(M161&lt;&gt;"",M161-Summary!$C$3,IF(K161="","",K161-Summary!$C$3))</f>
        <v/>
      </c>
      <c r="O161" s="6" t="s">
        <v>6</v>
      </c>
      <c r="P161" s="6" t="s">
        <v>89</v>
      </c>
      <c r="Q161" s="6" t="s">
        <v>89</v>
      </c>
      <c r="R161" s="6" t="s">
        <v>89</v>
      </c>
      <c r="S161" s="6" t="s">
        <v>2006</v>
      </c>
      <c r="T161" s="6" t="s">
        <v>89</v>
      </c>
      <c r="U161" s="6" t="s">
        <v>2007</v>
      </c>
      <c r="V161" s="6" t="s">
        <v>2008</v>
      </c>
      <c r="W161" s="6" t="s">
        <v>2009</v>
      </c>
      <c r="X161" s="6" t="s">
        <v>2010</v>
      </c>
      <c r="Y161" s="6" t="s">
        <v>2011</v>
      </c>
      <c r="Z161" s="6" t="s">
        <v>128</v>
      </c>
      <c r="AA161" s="6" t="s">
        <v>80</v>
      </c>
    </row>
    <row r="162" customFormat="false" ht="53.7" hidden="false" customHeight="false" outlineLevel="0" collapsed="false">
      <c r="A162" s="6" t="s">
        <v>1021</v>
      </c>
      <c r="B162" s="6" t="s">
        <v>1036</v>
      </c>
      <c r="C162" s="6" t="s">
        <v>2002</v>
      </c>
      <c r="D162" s="6" t="s">
        <v>2012</v>
      </c>
      <c r="E162" s="6" t="s">
        <v>19</v>
      </c>
      <c r="F162" s="6" t="s">
        <v>224</v>
      </c>
      <c r="G162" s="6" t="s">
        <v>2013</v>
      </c>
      <c r="H162" s="6" t="s">
        <v>1082</v>
      </c>
      <c r="I162" s="6" t="s">
        <v>1263</v>
      </c>
      <c r="J162" s="6" t="s">
        <v>2014</v>
      </c>
      <c r="K162" s="7" t="n">
        <v>45657</v>
      </c>
      <c r="L162" s="6" t="s">
        <v>68</v>
      </c>
      <c r="M162" s="7"/>
      <c r="N162" s="8" t="n">
        <f aca="false">IF(M162&lt;&gt;"",M162-Summary!$C$3,IF(K162="","",K162-Summary!$C$3))</f>
        <v>-648</v>
      </c>
      <c r="O162" s="6" t="s">
        <v>6</v>
      </c>
      <c r="P162" s="6" t="s">
        <v>69</v>
      </c>
      <c r="Q162" s="6" t="s">
        <v>2015</v>
      </c>
      <c r="R162" s="6" t="s">
        <v>326</v>
      </c>
      <c r="S162" s="6" t="s">
        <v>2016</v>
      </c>
      <c r="T162" s="6" t="s">
        <v>2017</v>
      </c>
      <c r="U162" s="6" t="s">
        <v>2018</v>
      </c>
      <c r="V162" s="6" t="s">
        <v>2019</v>
      </c>
      <c r="W162" s="6" t="s">
        <v>2020</v>
      </c>
      <c r="X162" s="6" t="s">
        <v>2021</v>
      </c>
      <c r="Y162" s="6" t="s">
        <v>2022</v>
      </c>
      <c r="Z162" s="6" t="s">
        <v>128</v>
      </c>
      <c r="AA162" s="6" t="s">
        <v>194</v>
      </c>
    </row>
    <row r="163" customFormat="false" ht="53.7" hidden="false" customHeight="false" outlineLevel="0" collapsed="false">
      <c r="A163" s="6" t="s">
        <v>1021</v>
      </c>
      <c r="B163" s="6" t="s">
        <v>1022</v>
      </c>
      <c r="C163" s="6" t="s">
        <v>2023</v>
      </c>
      <c r="D163" s="6" t="s">
        <v>2024</v>
      </c>
      <c r="E163" s="6" t="s">
        <v>19</v>
      </c>
      <c r="F163" s="6" t="s">
        <v>224</v>
      </c>
      <c r="G163" s="6" t="s">
        <v>2025</v>
      </c>
      <c r="H163" s="6" t="s">
        <v>226</v>
      </c>
      <c r="I163" s="6" t="s">
        <v>1263</v>
      </c>
      <c r="J163" s="6" t="s">
        <v>2026</v>
      </c>
      <c r="K163" s="7" t="n">
        <v>45657</v>
      </c>
      <c r="L163" s="6" t="s">
        <v>68</v>
      </c>
      <c r="M163" s="7"/>
      <c r="N163" s="8" t="n">
        <f aca="false">IF(M163&lt;&gt;"",M163-Summary!$C$3,IF(K163="","",K163-Summary!$C$3))</f>
        <v>-648</v>
      </c>
      <c r="O163" s="6" t="s">
        <v>6</v>
      </c>
      <c r="P163" s="6" t="s">
        <v>69</v>
      </c>
      <c r="Q163" s="6" t="s">
        <v>2027</v>
      </c>
      <c r="R163" s="6" t="s">
        <v>2028</v>
      </c>
      <c r="S163" s="6" t="s">
        <v>2029</v>
      </c>
      <c r="T163" s="6" t="s">
        <v>2030</v>
      </c>
      <c r="U163" s="6" t="s">
        <v>2031</v>
      </c>
      <c r="V163" s="6" t="s">
        <v>2032</v>
      </c>
      <c r="W163" s="6" t="s">
        <v>382</v>
      </c>
      <c r="X163" s="6" t="s">
        <v>2033</v>
      </c>
      <c r="Y163" s="6" t="s">
        <v>2034</v>
      </c>
      <c r="Z163" s="6" t="s">
        <v>128</v>
      </c>
      <c r="AA163" s="6" t="s">
        <v>194</v>
      </c>
    </row>
    <row r="164" customFormat="false" ht="43.25" hidden="false" customHeight="false" outlineLevel="0" collapsed="false">
      <c r="A164" s="6" t="s">
        <v>2035</v>
      </c>
      <c r="B164" s="6" t="s">
        <v>2036</v>
      </c>
      <c r="C164" s="6" t="s">
        <v>222</v>
      </c>
      <c r="D164" s="6" t="s">
        <v>2037</v>
      </c>
      <c r="E164" s="6" t="s">
        <v>17</v>
      </c>
      <c r="F164" s="6" t="s">
        <v>224</v>
      </c>
      <c r="G164" s="6" t="s">
        <v>225</v>
      </c>
      <c r="H164" s="6" t="s">
        <v>226</v>
      </c>
      <c r="I164" s="6" t="s">
        <v>2038</v>
      </c>
      <c r="J164" s="6" t="s">
        <v>89</v>
      </c>
      <c r="K164" s="7"/>
      <c r="L164" s="6" t="s">
        <v>88</v>
      </c>
      <c r="M164" s="7"/>
      <c r="N164" s="8" t="str">
        <f aca="false">IF(M164&lt;&gt;"",M164-Summary!$C$3,IF(K164="","",K164-Summary!$C$3))</f>
        <v/>
      </c>
      <c r="O164" s="6" t="s">
        <v>6</v>
      </c>
      <c r="P164" s="6" t="s">
        <v>89</v>
      </c>
      <c r="Q164" s="6" t="s">
        <v>89</v>
      </c>
      <c r="R164" s="6" t="s">
        <v>89</v>
      </c>
      <c r="S164" s="6" t="s">
        <v>2039</v>
      </c>
      <c r="T164" s="6" t="s">
        <v>89</v>
      </c>
      <c r="U164" s="6" t="s">
        <v>89</v>
      </c>
      <c r="V164" s="6" t="s">
        <v>89</v>
      </c>
      <c r="W164" s="6" t="s">
        <v>89</v>
      </c>
      <c r="X164" s="6" t="s">
        <v>89</v>
      </c>
      <c r="Y164" s="6" t="s">
        <v>2040</v>
      </c>
      <c r="Z164" s="6" t="s">
        <v>128</v>
      </c>
      <c r="AA164" s="6" t="s">
        <v>194</v>
      </c>
    </row>
    <row r="165" customFormat="false" ht="43.25" hidden="false" customHeight="false" outlineLevel="0" collapsed="false">
      <c r="A165" s="6" t="s">
        <v>2041</v>
      </c>
      <c r="B165" s="6" t="s">
        <v>2042</v>
      </c>
      <c r="C165" s="6" t="s">
        <v>2043</v>
      </c>
      <c r="D165" s="6" t="s">
        <v>2044</v>
      </c>
      <c r="E165" s="6" t="s">
        <v>18</v>
      </c>
      <c r="F165" s="6" t="s">
        <v>224</v>
      </c>
      <c r="G165" s="6" t="s">
        <v>2045</v>
      </c>
      <c r="H165" s="6" t="s">
        <v>65</v>
      </c>
      <c r="I165" s="6" t="s">
        <v>2046</v>
      </c>
      <c r="J165" s="6" t="s">
        <v>2047</v>
      </c>
      <c r="K165" s="7" t="n">
        <v>46295</v>
      </c>
      <c r="L165" s="6" t="s">
        <v>68</v>
      </c>
      <c r="M165" s="7"/>
      <c r="N165" s="8" t="n">
        <f aca="false">IF(M165&lt;&gt;"",M165-Summary!$C$3,IF(K165="","",K165-Summary!$C$3))</f>
        <v>-10</v>
      </c>
      <c r="O165" s="6" t="s">
        <v>6</v>
      </c>
      <c r="P165" s="6" t="s">
        <v>2048</v>
      </c>
      <c r="Q165" s="6" t="s">
        <v>2049</v>
      </c>
      <c r="R165" s="6" t="s">
        <v>89</v>
      </c>
      <c r="S165" s="6" t="s">
        <v>2050</v>
      </c>
      <c r="T165" s="6" t="s">
        <v>2051</v>
      </c>
      <c r="U165" s="6" t="s">
        <v>89</v>
      </c>
      <c r="V165" s="6" t="s">
        <v>2052</v>
      </c>
      <c r="W165" s="6" t="s">
        <v>89</v>
      </c>
      <c r="X165" s="6" t="s">
        <v>89</v>
      </c>
      <c r="Y165" s="6" t="s">
        <v>2053</v>
      </c>
      <c r="Z165" s="6" t="s">
        <v>128</v>
      </c>
      <c r="AA165" s="6" t="s">
        <v>194</v>
      </c>
    </row>
    <row r="166" customFormat="false" ht="53.7" hidden="false" customHeight="false" outlineLevel="0" collapsed="false">
      <c r="A166" s="6" t="s">
        <v>2054</v>
      </c>
      <c r="B166" s="6" t="s">
        <v>2054</v>
      </c>
      <c r="C166" s="6" t="s">
        <v>2055</v>
      </c>
      <c r="D166" s="6" t="s">
        <v>2056</v>
      </c>
      <c r="E166" s="6" t="s">
        <v>18</v>
      </c>
      <c r="F166" s="6" t="s">
        <v>147</v>
      </c>
      <c r="G166" s="6" t="s">
        <v>122</v>
      </c>
      <c r="H166" s="6" t="s">
        <v>568</v>
      </c>
      <c r="I166" s="6" t="s">
        <v>2057</v>
      </c>
      <c r="J166" s="6" t="s">
        <v>1572</v>
      </c>
      <c r="K166" s="7" t="n">
        <v>45961</v>
      </c>
      <c r="L166" s="6" t="s">
        <v>68</v>
      </c>
      <c r="M166" s="7"/>
      <c r="N166" s="8" t="n">
        <f aca="false">IF(M166&lt;&gt;"",M166-Summary!$C$3,IF(K166="","",K166-Summary!$C$3))</f>
        <v>-344</v>
      </c>
      <c r="O166" s="6" t="s">
        <v>7</v>
      </c>
      <c r="P166" s="6" t="s">
        <v>2058</v>
      </c>
      <c r="Q166" s="6" t="s">
        <v>2059</v>
      </c>
      <c r="R166" s="6" t="s">
        <v>89</v>
      </c>
      <c r="S166" s="6" t="s">
        <v>2060</v>
      </c>
      <c r="T166" s="6" t="s">
        <v>89</v>
      </c>
      <c r="U166" s="6" t="s">
        <v>89</v>
      </c>
      <c r="V166" s="6" t="s">
        <v>89</v>
      </c>
      <c r="W166" s="6" t="s">
        <v>89</v>
      </c>
      <c r="X166" s="6" t="s">
        <v>89</v>
      </c>
      <c r="Y166" s="6" t="s">
        <v>2061</v>
      </c>
      <c r="Z166" s="6" t="s">
        <v>79</v>
      </c>
      <c r="AA166" s="6" t="s">
        <v>194</v>
      </c>
    </row>
    <row r="167" customFormat="false" ht="43.25" hidden="false" customHeight="false" outlineLevel="0" collapsed="false">
      <c r="A167" s="6" t="s">
        <v>2062</v>
      </c>
      <c r="B167" s="6" t="s">
        <v>2062</v>
      </c>
      <c r="C167" s="6" t="s">
        <v>2063</v>
      </c>
      <c r="D167" s="6" t="s">
        <v>2064</v>
      </c>
      <c r="E167" s="6" t="s">
        <v>21</v>
      </c>
      <c r="F167" s="6" t="s">
        <v>162</v>
      </c>
      <c r="G167" s="6" t="s">
        <v>122</v>
      </c>
      <c r="H167" s="6" t="s">
        <v>568</v>
      </c>
      <c r="I167" s="6" t="s">
        <v>1300</v>
      </c>
      <c r="J167" s="6" t="s">
        <v>2065</v>
      </c>
      <c r="K167" s="7" t="n">
        <v>44865</v>
      </c>
      <c r="L167" s="6" t="s">
        <v>68</v>
      </c>
      <c r="M167" s="7"/>
      <c r="N167" s="8" t="n">
        <f aca="false">IF(M167&lt;&gt;"",M167-Summary!$C$3,IF(K167="","",K167-Summary!$C$3))</f>
        <v>-1440</v>
      </c>
      <c r="O167" s="6" t="s">
        <v>7</v>
      </c>
      <c r="P167" s="6" t="s">
        <v>69</v>
      </c>
      <c r="Q167" s="6" t="s">
        <v>2066</v>
      </c>
      <c r="R167" s="6" t="s">
        <v>2067</v>
      </c>
      <c r="S167" s="6" t="s">
        <v>2068</v>
      </c>
      <c r="T167" s="6" t="s">
        <v>2069</v>
      </c>
      <c r="U167" s="6" t="s">
        <v>89</v>
      </c>
      <c r="V167" s="6" t="s">
        <v>2070</v>
      </c>
      <c r="W167" s="6" t="s">
        <v>2071</v>
      </c>
      <c r="X167" s="6" t="s">
        <v>2072</v>
      </c>
      <c r="Y167" s="6" t="s">
        <v>2073</v>
      </c>
      <c r="Z167" s="6" t="s">
        <v>79</v>
      </c>
      <c r="AA167" s="6" t="s">
        <v>194</v>
      </c>
    </row>
    <row r="168" customFormat="false" ht="64.15" hidden="false" customHeight="false" outlineLevel="0" collapsed="false">
      <c r="A168" s="6" t="s">
        <v>251</v>
      </c>
      <c r="B168" s="6" t="s">
        <v>252</v>
      </c>
      <c r="C168" s="6" t="s">
        <v>2074</v>
      </c>
      <c r="D168" s="6" t="s">
        <v>2075</v>
      </c>
      <c r="E168" s="6" t="s">
        <v>21</v>
      </c>
      <c r="F168" s="6" t="s">
        <v>289</v>
      </c>
      <c r="G168" s="6" t="s">
        <v>122</v>
      </c>
      <c r="H168" s="6" t="s">
        <v>65</v>
      </c>
      <c r="I168" s="6" t="s">
        <v>2076</v>
      </c>
      <c r="J168" s="6" t="s">
        <v>2077</v>
      </c>
      <c r="K168" s="7" t="n">
        <v>45930</v>
      </c>
      <c r="L168" s="6" t="s">
        <v>68</v>
      </c>
      <c r="M168" s="7"/>
      <c r="N168" s="8" t="n">
        <f aca="false">IF(M168&lt;&gt;"",M168-Summary!$C$3,IF(K168="","",K168-Summary!$C$3))</f>
        <v>-375</v>
      </c>
      <c r="O168" s="6" t="s">
        <v>7</v>
      </c>
      <c r="P168" s="6" t="s">
        <v>69</v>
      </c>
      <c r="Q168" s="6" t="s">
        <v>110</v>
      </c>
      <c r="R168" s="6" t="s">
        <v>2078</v>
      </c>
      <c r="S168" s="6" t="s">
        <v>2079</v>
      </c>
      <c r="T168" s="6" t="s">
        <v>2069</v>
      </c>
      <c r="U168" s="6" t="s">
        <v>89</v>
      </c>
      <c r="V168" s="6" t="s">
        <v>2080</v>
      </c>
      <c r="W168" s="6" t="s">
        <v>2081</v>
      </c>
      <c r="X168" s="6" t="s">
        <v>2082</v>
      </c>
      <c r="Y168" s="6" t="s">
        <v>2083</v>
      </c>
      <c r="Z168" s="6" t="s">
        <v>128</v>
      </c>
      <c r="AA168" s="6" t="s">
        <v>194</v>
      </c>
    </row>
    <row r="169" customFormat="false" ht="32.8" hidden="false" customHeight="false" outlineLevel="0" collapsed="false">
      <c r="A169" s="6" t="s">
        <v>274</v>
      </c>
      <c r="B169" s="6" t="s">
        <v>275</v>
      </c>
      <c r="C169" s="6" t="s">
        <v>2084</v>
      </c>
      <c r="D169" s="6" t="s">
        <v>2085</v>
      </c>
      <c r="E169" s="6" t="s">
        <v>23</v>
      </c>
      <c r="F169" s="6" t="s">
        <v>224</v>
      </c>
      <c r="G169" s="6" t="s">
        <v>2086</v>
      </c>
      <c r="H169" s="6" t="s">
        <v>65</v>
      </c>
      <c r="I169" s="6" t="s">
        <v>2087</v>
      </c>
      <c r="J169" s="6" t="s">
        <v>2088</v>
      </c>
      <c r="K169" s="7" t="n">
        <v>45716</v>
      </c>
      <c r="L169" s="6" t="s">
        <v>68</v>
      </c>
      <c r="M169" s="7"/>
      <c r="N169" s="8" t="n">
        <f aca="false">IF(M169&lt;&gt;"",M169-Summary!$C$3,IF(K169="","",K169-Summary!$C$3))</f>
        <v>-589</v>
      </c>
      <c r="O169" s="6" t="s">
        <v>7</v>
      </c>
      <c r="P169" s="6" t="s">
        <v>69</v>
      </c>
      <c r="Q169" s="6" t="s">
        <v>110</v>
      </c>
      <c r="R169" s="6" t="s">
        <v>2089</v>
      </c>
      <c r="S169" s="6" t="s">
        <v>2090</v>
      </c>
      <c r="T169" s="6" t="s">
        <v>2091</v>
      </c>
      <c r="U169" s="6" t="s">
        <v>2092</v>
      </c>
      <c r="V169" s="6" t="s">
        <v>2093</v>
      </c>
      <c r="W169" s="6" t="s">
        <v>2094</v>
      </c>
      <c r="X169" s="6" t="s">
        <v>2095</v>
      </c>
      <c r="Y169" s="6" t="s">
        <v>2096</v>
      </c>
      <c r="Z169" s="6" t="s">
        <v>128</v>
      </c>
      <c r="AA169" s="6" t="s">
        <v>194</v>
      </c>
    </row>
    <row r="170" customFormat="false" ht="64.15" hidden="false" customHeight="false" outlineLevel="0" collapsed="false">
      <c r="A170" s="6" t="s">
        <v>2097</v>
      </c>
      <c r="B170" s="6" t="s">
        <v>2098</v>
      </c>
      <c r="C170" s="6" t="s">
        <v>2099</v>
      </c>
      <c r="D170" s="6" t="s">
        <v>2100</v>
      </c>
      <c r="E170" s="6" t="s">
        <v>21</v>
      </c>
      <c r="F170" s="6" t="s">
        <v>224</v>
      </c>
      <c r="G170" s="6" t="s">
        <v>122</v>
      </c>
      <c r="H170" s="6" t="s">
        <v>568</v>
      </c>
      <c r="I170" s="6" t="s">
        <v>2101</v>
      </c>
      <c r="J170" s="6" t="s">
        <v>2102</v>
      </c>
      <c r="K170" s="7" t="n">
        <v>45291</v>
      </c>
      <c r="L170" s="6" t="s">
        <v>68</v>
      </c>
      <c r="M170" s="7"/>
      <c r="N170" s="8" t="n">
        <f aca="false">IF(M170&lt;&gt;"",M170-Summary!$C$3,IF(K170="","",K170-Summary!$C$3))</f>
        <v>-1014</v>
      </c>
      <c r="O170" s="6" t="s">
        <v>7</v>
      </c>
      <c r="P170" s="6" t="s">
        <v>69</v>
      </c>
      <c r="Q170" s="6" t="s">
        <v>2103</v>
      </c>
      <c r="R170" s="6" t="s">
        <v>2104</v>
      </c>
      <c r="S170" s="6" t="s">
        <v>2105</v>
      </c>
      <c r="T170" s="6" t="s">
        <v>2106</v>
      </c>
      <c r="U170" s="6" t="s">
        <v>89</v>
      </c>
      <c r="V170" s="6" t="s">
        <v>2107</v>
      </c>
      <c r="W170" s="6" t="s">
        <v>2108</v>
      </c>
      <c r="X170" s="6" t="s">
        <v>2109</v>
      </c>
      <c r="Y170" s="6" t="s">
        <v>2110</v>
      </c>
      <c r="Z170" s="6" t="s">
        <v>128</v>
      </c>
      <c r="AA170" s="6" t="s">
        <v>194</v>
      </c>
    </row>
    <row r="171" customFormat="false" ht="53.7" hidden="false" customHeight="false" outlineLevel="0" collapsed="false">
      <c r="A171" s="6" t="s">
        <v>340</v>
      </c>
      <c r="B171" s="6" t="s">
        <v>340</v>
      </c>
      <c r="C171" s="6" t="s">
        <v>341</v>
      </c>
      <c r="D171" s="6" t="s">
        <v>2111</v>
      </c>
      <c r="E171" s="6" t="s">
        <v>20</v>
      </c>
      <c r="F171" s="6" t="s">
        <v>224</v>
      </c>
      <c r="G171" s="6" t="s">
        <v>1250</v>
      </c>
      <c r="H171" s="6" t="s">
        <v>2112</v>
      </c>
      <c r="I171" s="6" t="s">
        <v>2113</v>
      </c>
      <c r="J171" s="6" t="s">
        <v>1813</v>
      </c>
      <c r="K171" s="7" t="n">
        <v>46204</v>
      </c>
      <c r="L171" s="6" t="s">
        <v>68</v>
      </c>
      <c r="M171" s="7"/>
      <c r="N171" s="8" t="n">
        <f aca="false">IF(M171&lt;&gt;"",M171-Summary!$C$3,IF(K171="","",K171-Summary!$C$3))</f>
        <v>-101</v>
      </c>
      <c r="O171" s="6" t="s">
        <v>7</v>
      </c>
      <c r="P171" s="6" t="s">
        <v>89</v>
      </c>
      <c r="Q171" s="6" t="s">
        <v>89</v>
      </c>
      <c r="R171" s="6" t="s">
        <v>2114</v>
      </c>
      <c r="S171" s="6" t="s">
        <v>1815</v>
      </c>
      <c r="T171" s="6" t="s">
        <v>89</v>
      </c>
      <c r="U171" s="6" t="s">
        <v>89</v>
      </c>
      <c r="V171" s="6" t="s">
        <v>2115</v>
      </c>
      <c r="W171" s="6" t="s">
        <v>89</v>
      </c>
      <c r="X171" s="6" t="s">
        <v>2116</v>
      </c>
      <c r="Y171" s="6" t="s">
        <v>2117</v>
      </c>
      <c r="Z171" s="6" t="s">
        <v>128</v>
      </c>
      <c r="AA171" s="6" t="s">
        <v>80</v>
      </c>
    </row>
    <row r="172" customFormat="false" ht="53.7" hidden="false" customHeight="false" outlineLevel="0" collapsed="false">
      <c r="A172" s="6" t="s">
        <v>2118</v>
      </c>
      <c r="B172" s="6" t="s">
        <v>2119</v>
      </c>
      <c r="C172" s="6" t="s">
        <v>2120</v>
      </c>
      <c r="D172" s="6" t="s">
        <v>2121</v>
      </c>
      <c r="E172" s="6" t="s">
        <v>20</v>
      </c>
      <c r="F172" s="6" t="s">
        <v>147</v>
      </c>
      <c r="G172" s="6" t="s">
        <v>658</v>
      </c>
      <c r="H172" s="6" t="s">
        <v>568</v>
      </c>
      <c r="I172" s="6" t="s">
        <v>2122</v>
      </c>
      <c r="J172" s="6" t="s">
        <v>2123</v>
      </c>
      <c r="K172" s="7" t="n">
        <v>45930</v>
      </c>
      <c r="L172" s="6" t="s">
        <v>68</v>
      </c>
      <c r="M172" s="7"/>
      <c r="N172" s="8" t="n">
        <f aca="false">IF(M172&lt;&gt;"",M172-Summary!$C$3,IF(K172="","",K172-Summary!$C$3))</f>
        <v>-375</v>
      </c>
      <c r="O172" s="6" t="s">
        <v>7</v>
      </c>
      <c r="P172" s="6" t="s">
        <v>2124</v>
      </c>
      <c r="Q172" s="6" t="s">
        <v>216</v>
      </c>
      <c r="R172" s="6" t="s">
        <v>2125</v>
      </c>
      <c r="S172" s="6" t="s">
        <v>2126</v>
      </c>
      <c r="T172" s="6" t="s">
        <v>89</v>
      </c>
      <c r="U172" s="6" t="s">
        <v>2127</v>
      </c>
      <c r="V172" s="6" t="s">
        <v>2128</v>
      </c>
      <c r="W172" s="6" t="s">
        <v>2129</v>
      </c>
      <c r="X172" s="6" t="s">
        <v>2130</v>
      </c>
      <c r="Y172" s="6" t="s">
        <v>2131</v>
      </c>
      <c r="Z172" s="6" t="s">
        <v>128</v>
      </c>
      <c r="AA172" s="6" t="s">
        <v>194</v>
      </c>
    </row>
    <row r="173" customFormat="false" ht="53.7" hidden="false" customHeight="false" outlineLevel="0" collapsed="false">
      <c r="A173" s="6" t="s">
        <v>1615</v>
      </c>
      <c r="B173" s="6" t="s">
        <v>2132</v>
      </c>
      <c r="C173" s="6" t="s">
        <v>1615</v>
      </c>
      <c r="D173" s="6" t="s">
        <v>2133</v>
      </c>
      <c r="E173" s="6" t="s">
        <v>25</v>
      </c>
      <c r="F173" s="6" t="s">
        <v>224</v>
      </c>
      <c r="G173" s="6" t="s">
        <v>2134</v>
      </c>
      <c r="H173" s="6" t="s">
        <v>226</v>
      </c>
      <c r="I173" s="6" t="s">
        <v>2135</v>
      </c>
      <c r="J173" s="6" t="s">
        <v>2136</v>
      </c>
      <c r="K173" s="7" t="n">
        <v>46022</v>
      </c>
      <c r="L173" s="6" t="s">
        <v>68</v>
      </c>
      <c r="M173" s="7"/>
      <c r="N173" s="8" t="n">
        <f aca="false">IF(M173&lt;&gt;"",M173-Summary!$C$3,IF(K173="","",K173-Summary!$C$3))</f>
        <v>-283</v>
      </c>
      <c r="O173" s="6" t="s">
        <v>7</v>
      </c>
      <c r="P173" s="6" t="s">
        <v>2137</v>
      </c>
      <c r="Q173" s="6" t="s">
        <v>2138</v>
      </c>
      <c r="R173" s="6" t="s">
        <v>2139</v>
      </c>
      <c r="S173" s="6" t="s">
        <v>2140</v>
      </c>
      <c r="T173" s="6" t="s">
        <v>89</v>
      </c>
      <c r="U173" s="6" t="s">
        <v>2141</v>
      </c>
      <c r="V173" s="6" t="s">
        <v>2142</v>
      </c>
      <c r="W173" s="6" t="s">
        <v>2143</v>
      </c>
      <c r="X173" s="6" t="s">
        <v>2144</v>
      </c>
      <c r="Y173" s="6" t="s">
        <v>2145</v>
      </c>
      <c r="Z173" s="6" t="s">
        <v>79</v>
      </c>
      <c r="AA173" s="6" t="s">
        <v>80</v>
      </c>
    </row>
    <row r="174" customFormat="false" ht="64.15" hidden="false" customHeight="false" outlineLevel="0" collapsed="false">
      <c r="A174" s="6" t="s">
        <v>541</v>
      </c>
      <c r="B174" s="6" t="s">
        <v>2146</v>
      </c>
      <c r="C174" s="6" t="s">
        <v>2147</v>
      </c>
      <c r="D174" s="6" t="s">
        <v>2148</v>
      </c>
      <c r="E174" s="6" t="s">
        <v>21</v>
      </c>
      <c r="F174" s="6" t="s">
        <v>162</v>
      </c>
      <c r="G174" s="6" t="s">
        <v>122</v>
      </c>
      <c r="H174" s="6" t="s">
        <v>65</v>
      </c>
      <c r="I174" s="6" t="s">
        <v>2149</v>
      </c>
      <c r="J174" s="6" t="s">
        <v>200</v>
      </c>
      <c r="K174" s="7" t="n">
        <v>46204</v>
      </c>
      <c r="L174" s="6" t="s">
        <v>68</v>
      </c>
      <c r="M174" s="7"/>
      <c r="N174" s="8" t="n">
        <f aca="false">IF(M174&lt;&gt;"",M174-Summary!$C$3,IF(K174="","",K174-Summary!$C$3))</f>
        <v>-101</v>
      </c>
      <c r="O174" s="6" t="s">
        <v>7</v>
      </c>
      <c r="P174" s="6" t="s">
        <v>186</v>
      </c>
      <c r="Q174" s="6" t="s">
        <v>2150</v>
      </c>
      <c r="R174" s="6" t="s">
        <v>2151</v>
      </c>
      <c r="S174" s="6" t="s">
        <v>2152</v>
      </c>
      <c r="T174" s="6" t="s">
        <v>89</v>
      </c>
      <c r="U174" s="6" t="s">
        <v>89</v>
      </c>
      <c r="V174" s="6" t="s">
        <v>110</v>
      </c>
      <c r="W174" s="6" t="s">
        <v>2153</v>
      </c>
      <c r="X174" s="6" t="s">
        <v>2154</v>
      </c>
      <c r="Y174" s="6" t="s">
        <v>2155</v>
      </c>
      <c r="Z174" s="6" t="s">
        <v>79</v>
      </c>
      <c r="AA174" s="6" t="s">
        <v>80</v>
      </c>
    </row>
    <row r="175" customFormat="false" ht="43.25" hidden="false" customHeight="false" outlineLevel="0" collapsed="false">
      <c r="A175" s="6" t="s">
        <v>2156</v>
      </c>
      <c r="B175" s="6" t="s">
        <v>2157</v>
      </c>
      <c r="C175" s="6" t="s">
        <v>2158</v>
      </c>
      <c r="D175" s="6" t="s">
        <v>2159</v>
      </c>
      <c r="E175" s="6" t="s">
        <v>21</v>
      </c>
      <c r="F175" s="6" t="s">
        <v>289</v>
      </c>
      <c r="G175" s="6" t="s">
        <v>122</v>
      </c>
      <c r="H175" s="6" t="s">
        <v>568</v>
      </c>
      <c r="I175" s="6" t="s">
        <v>2160</v>
      </c>
      <c r="J175" s="6" t="s">
        <v>2161</v>
      </c>
      <c r="K175" s="7" t="n">
        <v>44792</v>
      </c>
      <c r="L175" s="6" t="s">
        <v>68</v>
      </c>
      <c r="M175" s="7"/>
      <c r="N175" s="8" t="n">
        <f aca="false">IF(M175&lt;&gt;"",M175-Summary!$C$3,IF(K175="","",K175-Summary!$C$3))</f>
        <v>-1513</v>
      </c>
      <c r="O175" s="6" t="s">
        <v>7</v>
      </c>
      <c r="P175" s="6" t="s">
        <v>69</v>
      </c>
      <c r="Q175" s="6" t="s">
        <v>2162</v>
      </c>
      <c r="R175" s="6" t="s">
        <v>326</v>
      </c>
      <c r="S175" s="6" t="s">
        <v>2163</v>
      </c>
      <c r="T175" s="6" t="s">
        <v>2069</v>
      </c>
      <c r="U175" s="6" t="s">
        <v>89</v>
      </c>
      <c r="V175" s="6" t="s">
        <v>2164</v>
      </c>
      <c r="W175" s="6" t="s">
        <v>2165</v>
      </c>
      <c r="X175" s="6" t="s">
        <v>2166</v>
      </c>
      <c r="Y175" s="6" t="s">
        <v>2167</v>
      </c>
      <c r="Z175" s="6" t="s">
        <v>79</v>
      </c>
      <c r="AA175" s="6" t="s">
        <v>80</v>
      </c>
    </row>
    <row r="176" customFormat="false" ht="43.25" hidden="false" customHeight="false" outlineLevel="0" collapsed="false">
      <c r="A176" s="6" t="s">
        <v>2156</v>
      </c>
      <c r="B176" s="6" t="s">
        <v>2168</v>
      </c>
      <c r="C176" s="6" t="s">
        <v>2169</v>
      </c>
      <c r="D176" s="6" t="s">
        <v>2170</v>
      </c>
      <c r="E176" s="6" t="s">
        <v>21</v>
      </c>
      <c r="F176" s="6" t="s">
        <v>289</v>
      </c>
      <c r="G176" s="6" t="s">
        <v>122</v>
      </c>
      <c r="H176" s="6" t="s">
        <v>568</v>
      </c>
      <c r="I176" s="6" t="s">
        <v>2171</v>
      </c>
      <c r="J176" s="6" t="s">
        <v>2172</v>
      </c>
      <c r="K176" s="7" t="n">
        <v>45138</v>
      </c>
      <c r="L176" s="6" t="s">
        <v>68</v>
      </c>
      <c r="M176" s="7"/>
      <c r="N176" s="8" t="n">
        <f aca="false">IF(M176&lt;&gt;"",M176-Summary!$C$3,IF(K176="","",K176-Summary!$C$3))</f>
        <v>-1167</v>
      </c>
      <c r="O176" s="6" t="s">
        <v>7</v>
      </c>
      <c r="P176" s="6" t="s">
        <v>69</v>
      </c>
      <c r="Q176" s="6" t="s">
        <v>2162</v>
      </c>
      <c r="R176" s="6" t="s">
        <v>326</v>
      </c>
      <c r="S176" s="6" t="s">
        <v>2173</v>
      </c>
      <c r="T176" s="6" t="s">
        <v>2069</v>
      </c>
      <c r="U176" s="6" t="s">
        <v>89</v>
      </c>
      <c r="V176" s="6" t="s">
        <v>2164</v>
      </c>
      <c r="W176" s="6" t="s">
        <v>2165</v>
      </c>
      <c r="X176" s="6" t="s">
        <v>2166</v>
      </c>
      <c r="Y176" s="6" t="s">
        <v>2174</v>
      </c>
      <c r="Z176" s="6" t="s">
        <v>79</v>
      </c>
      <c r="AA176" s="6" t="s">
        <v>80</v>
      </c>
    </row>
    <row r="177" customFormat="false" ht="43.25" hidden="false" customHeight="false" outlineLevel="0" collapsed="false">
      <c r="A177" s="6" t="s">
        <v>2175</v>
      </c>
      <c r="B177" s="6" t="s">
        <v>2175</v>
      </c>
      <c r="C177" s="6" t="s">
        <v>2176</v>
      </c>
      <c r="D177" s="6" t="s">
        <v>2177</v>
      </c>
      <c r="E177" s="6" t="s">
        <v>17</v>
      </c>
      <c r="F177" s="6" t="s">
        <v>224</v>
      </c>
      <c r="G177" s="6" t="s">
        <v>2178</v>
      </c>
      <c r="H177" s="6" t="s">
        <v>65</v>
      </c>
      <c r="I177" s="6" t="s">
        <v>2179</v>
      </c>
      <c r="J177" s="6" t="s">
        <v>2180</v>
      </c>
      <c r="K177" s="7" t="n">
        <v>45046</v>
      </c>
      <c r="L177" s="6" t="s">
        <v>68</v>
      </c>
      <c r="M177" s="7"/>
      <c r="N177" s="8" t="n">
        <f aca="false">IF(M177&lt;&gt;"",M177-Summary!$C$3,IF(K177="","",K177-Summary!$C$3))</f>
        <v>-1259</v>
      </c>
      <c r="O177" s="6" t="s">
        <v>7</v>
      </c>
      <c r="P177" s="6" t="s">
        <v>2181</v>
      </c>
      <c r="Q177" s="6" t="s">
        <v>110</v>
      </c>
      <c r="R177" s="6" t="s">
        <v>2182</v>
      </c>
      <c r="S177" s="6" t="s">
        <v>89</v>
      </c>
      <c r="T177" s="6" t="s">
        <v>89</v>
      </c>
      <c r="U177" s="6" t="s">
        <v>2183</v>
      </c>
      <c r="V177" s="6" t="s">
        <v>89</v>
      </c>
      <c r="W177" s="6" t="s">
        <v>89</v>
      </c>
      <c r="X177" s="6" t="s">
        <v>89</v>
      </c>
      <c r="Y177" s="6" t="s">
        <v>2184</v>
      </c>
      <c r="Z177" s="6" t="s">
        <v>79</v>
      </c>
      <c r="AA177" s="6" t="s">
        <v>194</v>
      </c>
    </row>
    <row r="178" customFormat="false" ht="43.25" hidden="false" customHeight="false" outlineLevel="0" collapsed="false">
      <c r="A178" s="6" t="s">
        <v>2175</v>
      </c>
      <c r="B178" s="6" t="s">
        <v>2175</v>
      </c>
      <c r="C178" s="6" t="s">
        <v>2185</v>
      </c>
      <c r="D178" s="6" t="s">
        <v>2186</v>
      </c>
      <c r="E178" s="6" t="s">
        <v>18</v>
      </c>
      <c r="F178" s="6" t="s">
        <v>224</v>
      </c>
      <c r="G178" s="6" t="s">
        <v>2178</v>
      </c>
      <c r="H178" s="6" t="s">
        <v>2187</v>
      </c>
      <c r="I178" s="6" t="s">
        <v>2188</v>
      </c>
      <c r="J178" s="6" t="s">
        <v>2189</v>
      </c>
      <c r="K178" s="7" t="n">
        <v>46142</v>
      </c>
      <c r="L178" s="6" t="s">
        <v>68</v>
      </c>
      <c r="M178" s="7"/>
      <c r="N178" s="8" t="n">
        <f aca="false">IF(M178&lt;&gt;"",M178-Summary!$C$3,IF(K178="","",K178-Summary!$C$3))</f>
        <v>-163</v>
      </c>
      <c r="O178" s="6" t="s">
        <v>7</v>
      </c>
      <c r="P178" s="6" t="s">
        <v>2190</v>
      </c>
      <c r="Q178" s="6" t="s">
        <v>110</v>
      </c>
      <c r="R178" s="6" t="s">
        <v>2191</v>
      </c>
      <c r="S178" s="6" t="s">
        <v>2192</v>
      </c>
      <c r="T178" s="6" t="s">
        <v>89</v>
      </c>
      <c r="U178" s="6" t="s">
        <v>89</v>
      </c>
      <c r="V178" s="6" t="s">
        <v>89</v>
      </c>
      <c r="W178" s="6" t="s">
        <v>89</v>
      </c>
      <c r="X178" s="6" t="s">
        <v>89</v>
      </c>
      <c r="Y178" s="6" t="s">
        <v>2193</v>
      </c>
      <c r="Z178" s="6" t="s">
        <v>79</v>
      </c>
      <c r="AA178" s="6" t="s">
        <v>80</v>
      </c>
    </row>
    <row r="179" customFormat="false" ht="43.25" hidden="false" customHeight="false" outlineLevel="0" collapsed="false">
      <c r="A179" s="6" t="s">
        <v>2175</v>
      </c>
      <c r="B179" s="6" t="s">
        <v>2175</v>
      </c>
      <c r="C179" s="6" t="s">
        <v>2185</v>
      </c>
      <c r="D179" s="6" t="s">
        <v>2194</v>
      </c>
      <c r="E179" s="6" t="s">
        <v>17</v>
      </c>
      <c r="F179" s="6" t="s">
        <v>224</v>
      </c>
      <c r="G179" s="6" t="s">
        <v>2178</v>
      </c>
      <c r="H179" s="6" t="s">
        <v>2195</v>
      </c>
      <c r="I179" s="6" t="s">
        <v>2188</v>
      </c>
      <c r="J179" s="6" t="s">
        <v>2196</v>
      </c>
      <c r="K179" s="7" t="n">
        <v>46142</v>
      </c>
      <c r="L179" s="6" t="s">
        <v>68</v>
      </c>
      <c r="M179" s="7"/>
      <c r="N179" s="8" t="n">
        <f aca="false">IF(M179&lt;&gt;"",M179-Summary!$C$3,IF(K179="","",K179-Summary!$C$3))</f>
        <v>-163</v>
      </c>
      <c r="O179" s="6" t="s">
        <v>7</v>
      </c>
      <c r="P179" s="6" t="s">
        <v>2197</v>
      </c>
      <c r="Q179" s="6" t="s">
        <v>110</v>
      </c>
      <c r="R179" s="6" t="s">
        <v>2198</v>
      </c>
      <c r="S179" s="6" t="s">
        <v>2199</v>
      </c>
      <c r="T179" s="6" t="s">
        <v>89</v>
      </c>
      <c r="U179" s="6" t="s">
        <v>89</v>
      </c>
      <c r="V179" s="6" t="s">
        <v>89</v>
      </c>
      <c r="W179" s="6" t="s">
        <v>89</v>
      </c>
      <c r="X179" s="6" t="s">
        <v>89</v>
      </c>
      <c r="Y179" s="6" t="s">
        <v>2200</v>
      </c>
      <c r="Z179" s="6" t="s">
        <v>79</v>
      </c>
      <c r="AA179" s="6" t="s">
        <v>194</v>
      </c>
    </row>
    <row r="180" customFormat="false" ht="43.25" hidden="false" customHeight="false" outlineLevel="0" collapsed="false">
      <c r="A180" s="6" t="s">
        <v>2201</v>
      </c>
      <c r="B180" s="6" t="s">
        <v>2202</v>
      </c>
      <c r="C180" s="6" t="s">
        <v>2203</v>
      </c>
      <c r="D180" s="6" t="s">
        <v>2204</v>
      </c>
      <c r="E180" s="6" t="s">
        <v>21</v>
      </c>
      <c r="F180" s="6" t="s">
        <v>162</v>
      </c>
      <c r="G180" s="6" t="s">
        <v>122</v>
      </c>
      <c r="H180" s="6" t="s">
        <v>568</v>
      </c>
      <c r="I180" s="6" t="s">
        <v>2205</v>
      </c>
      <c r="J180" s="6" t="s">
        <v>2206</v>
      </c>
      <c r="K180" s="7" t="n">
        <v>44641</v>
      </c>
      <c r="L180" s="6" t="s">
        <v>68</v>
      </c>
      <c r="M180" s="7"/>
      <c r="N180" s="8" t="n">
        <f aca="false">IF(M180&lt;&gt;"",M180-Summary!$C$3,IF(K180="","",K180-Summary!$C$3))</f>
        <v>-1664</v>
      </c>
      <c r="O180" s="6" t="s">
        <v>7</v>
      </c>
      <c r="P180" s="6" t="s">
        <v>69</v>
      </c>
      <c r="Q180" s="6" t="s">
        <v>584</v>
      </c>
      <c r="R180" s="6" t="s">
        <v>2207</v>
      </c>
      <c r="S180" s="6" t="s">
        <v>2208</v>
      </c>
      <c r="T180" s="6" t="s">
        <v>2069</v>
      </c>
      <c r="U180" s="6" t="s">
        <v>89</v>
      </c>
      <c r="V180" s="6" t="s">
        <v>2209</v>
      </c>
      <c r="W180" s="6" t="s">
        <v>2210</v>
      </c>
      <c r="X180" s="6" t="s">
        <v>2211</v>
      </c>
      <c r="Y180" s="6" t="s">
        <v>2212</v>
      </c>
      <c r="Z180" s="6" t="s">
        <v>79</v>
      </c>
      <c r="AA180" s="6" t="s">
        <v>194</v>
      </c>
    </row>
    <row r="181" customFormat="false" ht="53.7" hidden="false" customHeight="false" outlineLevel="0" collapsed="false">
      <c r="A181" s="6" t="s">
        <v>2213</v>
      </c>
      <c r="B181" s="6" t="s">
        <v>2214</v>
      </c>
      <c r="C181" s="6" t="s">
        <v>2215</v>
      </c>
      <c r="D181" s="6" t="s">
        <v>2216</v>
      </c>
      <c r="E181" s="6" t="s">
        <v>21</v>
      </c>
      <c r="F181" s="6" t="s">
        <v>289</v>
      </c>
      <c r="G181" s="6" t="s">
        <v>122</v>
      </c>
      <c r="H181" s="6" t="s">
        <v>568</v>
      </c>
      <c r="I181" s="6" t="s">
        <v>2217</v>
      </c>
      <c r="J181" s="6" t="s">
        <v>2218</v>
      </c>
      <c r="K181" s="7" t="n">
        <v>45838</v>
      </c>
      <c r="L181" s="6" t="s">
        <v>68</v>
      </c>
      <c r="M181" s="7"/>
      <c r="N181" s="8" t="n">
        <f aca="false">IF(M181&lt;&gt;"",M181-Summary!$C$3,IF(K181="","",K181-Summary!$C$3))</f>
        <v>-467</v>
      </c>
      <c r="O181" s="6" t="s">
        <v>7</v>
      </c>
      <c r="P181" s="6" t="s">
        <v>2219</v>
      </c>
      <c r="Q181" s="6" t="s">
        <v>110</v>
      </c>
      <c r="R181" s="6" t="s">
        <v>2220</v>
      </c>
      <c r="S181" s="6" t="s">
        <v>2221</v>
      </c>
      <c r="T181" s="6" t="s">
        <v>2222</v>
      </c>
      <c r="U181" s="6" t="s">
        <v>2223</v>
      </c>
      <c r="V181" s="6" t="s">
        <v>2224</v>
      </c>
      <c r="W181" s="6" t="s">
        <v>2225</v>
      </c>
      <c r="X181" s="6" t="s">
        <v>2226</v>
      </c>
      <c r="Y181" s="6" t="s">
        <v>2227</v>
      </c>
      <c r="Z181" s="6" t="s">
        <v>79</v>
      </c>
      <c r="AA181" s="6" t="s">
        <v>194</v>
      </c>
    </row>
    <row r="182" customFormat="false" ht="53.7" hidden="false" customHeight="false" outlineLevel="0" collapsed="false">
      <c r="A182" s="6" t="s">
        <v>2228</v>
      </c>
      <c r="B182" s="6" t="s">
        <v>2229</v>
      </c>
      <c r="C182" s="6" t="s">
        <v>2230</v>
      </c>
      <c r="D182" s="6" t="s">
        <v>2231</v>
      </c>
      <c r="E182" s="6" t="s">
        <v>24</v>
      </c>
      <c r="F182" s="6" t="s">
        <v>1655</v>
      </c>
      <c r="G182" s="6" t="s">
        <v>122</v>
      </c>
      <c r="H182" s="6" t="s">
        <v>291</v>
      </c>
      <c r="I182" s="6" t="s">
        <v>2232</v>
      </c>
      <c r="J182" s="6" t="s">
        <v>2233</v>
      </c>
      <c r="K182" s="7" t="n">
        <v>45657</v>
      </c>
      <c r="L182" s="6" t="s">
        <v>68</v>
      </c>
      <c r="M182" s="7"/>
      <c r="N182" s="8" t="n">
        <f aca="false">IF(M182&lt;&gt;"",M182-Summary!$C$3,IF(K182="","",K182-Summary!$C$3))</f>
        <v>-648</v>
      </c>
      <c r="O182" s="6" t="s">
        <v>7</v>
      </c>
      <c r="P182" s="6" t="s">
        <v>2234</v>
      </c>
      <c r="Q182" s="6" t="s">
        <v>110</v>
      </c>
      <c r="R182" s="6" t="s">
        <v>2235</v>
      </c>
      <c r="S182" s="6" t="s">
        <v>2236</v>
      </c>
      <c r="T182" s="6" t="s">
        <v>2237</v>
      </c>
      <c r="U182" s="6" t="s">
        <v>89</v>
      </c>
      <c r="V182" s="6" t="s">
        <v>2238</v>
      </c>
      <c r="W182" s="6" t="s">
        <v>2239</v>
      </c>
      <c r="X182" s="6" t="s">
        <v>2240</v>
      </c>
      <c r="Y182" s="6" t="s">
        <v>2241</v>
      </c>
      <c r="Z182" s="6" t="s">
        <v>79</v>
      </c>
      <c r="AA182" s="6" t="s">
        <v>80</v>
      </c>
    </row>
    <row r="183" customFormat="false" ht="32.8" hidden="false" customHeight="false" outlineLevel="0" collapsed="false">
      <c r="A183" s="6" t="s">
        <v>654</v>
      </c>
      <c r="B183" s="6" t="s">
        <v>1831</v>
      </c>
      <c r="C183" s="6" t="s">
        <v>2242</v>
      </c>
      <c r="D183" s="6" t="s">
        <v>2243</v>
      </c>
      <c r="E183" s="6" t="s">
        <v>20</v>
      </c>
      <c r="F183" s="6" t="s">
        <v>224</v>
      </c>
      <c r="G183" s="6" t="s">
        <v>682</v>
      </c>
      <c r="H183" s="6" t="s">
        <v>65</v>
      </c>
      <c r="I183" s="6" t="s">
        <v>2244</v>
      </c>
      <c r="J183" s="6" t="s">
        <v>2245</v>
      </c>
      <c r="K183" s="7" t="n">
        <v>45565</v>
      </c>
      <c r="L183" s="6" t="s">
        <v>68</v>
      </c>
      <c r="M183" s="7"/>
      <c r="N183" s="8" t="n">
        <f aca="false">IF(M183&lt;&gt;"",M183-Summary!$C$3,IF(K183="","",K183-Summary!$C$3))</f>
        <v>-740</v>
      </c>
      <c r="O183" s="6" t="s">
        <v>7</v>
      </c>
      <c r="P183" s="6" t="s">
        <v>89</v>
      </c>
      <c r="Q183" s="6" t="s">
        <v>89</v>
      </c>
      <c r="R183" s="6" t="s">
        <v>1836</v>
      </c>
      <c r="S183" s="6" t="s">
        <v>1815</v>
      </c>
      <c r="T183" s="6" t="s">
        <v>89</v>
      </c>
      <c r="U183" s="6" t="s">
        <v>89</v>
      </c>
      <c r="V183" s="6" t="s">
        <v>1837</v>
      </c>
      <c r="W183" s="6" t="s">
        <v>89</v>
      </c>
      <c r="X183" s="6" t="s">
        <v>1838</v>
      </c>
      <c r="Y183" s="6" t="s">
        <v>2246</v>
      </c>
      <c r="Z183" s="6" t="s">
        <v>128</v>
      </c>
      <c r="AA183" s="6" t="s">
        <v>194</v>
      </c>
    </row>
    <row r="184" customFormat="false" ht="53.7" hidden="false" customHeight="false" outlineLevel="0" collapsed="false">
      <c r="A184" s="6" t="s">
        <v>654</v>
      </c>
      <c r="B184" s="6" t="s">
        <v>667</v>
      </c>
      <c r="C184" s="6" t="s">
        <v>2247</v>
      </c>
      <c r="D184" s="6" t="s">
        <v>2248</v>
      </c>
      <c r="E184" s="6" t="s">
        <v>20</v>
      </c>
      <c r="F184" s="6" t="s">
        <v>147</v>
      </c>
      <c r="G184" s="6" t="s">
        <v>658</v>
      </c>
      <c r="H184" s="6" t="s">
        <v>65</v>
      </c>
      <c r="I184" s="6" t="s">
        <v>1026</v>
      </c>
      <c r="J184" s="6" t="s">
        <v>2249</v>
      </c>
      <c r="K184" s="7" t="n">
        <v>45930</v>
      </c>
      <c r="L184" s="6" t="s">
        <v>68</v>
      </c>
      <c r="M184" s="7"/>
      <c r="N184" s="8" t="n">
        <f aca="false">IF(M184&lt;&gt;"",M184-Summary!$C$3,IF(K184="","",K184-Summary!$C$3))</f>
        <v>-375</v>
      </c>
      <c r="O184" s="6" t="s">
        <v>7</v>
      </c>
      <c r="P184" s="6" t="s">
        <v>2250</v>
      </c>
      <c r="Q184" s="6" t="s">
        <v>89</v>
      </c>
      <c r="R184" s="6" t="s">
        <v>2251</v>
      </c>
      <c r="S184" s="6" t="s">
        <v>2252</v>
      </c>
      <c r="T184" s="6" t="s">
        <v>89</v>
      </c>
      <c r="U184" s="6" t="s">
        <v>2253</v>
      </c>
      <c r="V184" s="6" t="s">
        <v>2254</v>
      </c>
      <c r="W184" s="6" t="s">
        <v>89</v>
      </c>
      <c r="X184" s="6" t="s">
        <v>89</v>
      </c>
      <c r="Y184" s="6" t="s">
        <v>2255</v>
      </c>
      <c r="Z184" s="6" t="s">
        <v>128</v>
      </c>
      <c r="AA184" s="6" t="s">
        <v>80</v>
      </c>
    </row>
    <row r="185" customFormat="false" ht="43.25" hidden="false" customHeight="false" outlineLevel="0" collapsed="false">
      <c r="A185" s="6" t="s">
        <v>654</v>
      </c>
      <c r="B185" s="6" t="s">
        <v>2256</v>
      </c>
      <c r="C185" s="6" t="s">
        <v>2257</v>
      </c>
      <c r="D185" s="6" t="s">
        <v>2258</v>
      </c>
      <c r="E185" s="6" t="s">
        <v>20</v>
      </c>
      <c r="F185" s="6" t="s">
        <v>224</v>
      </c>
      <c r="G185" s="6" t="s">
        <v>658</v>
      </c>
      <c r="H185" s="6" t="s">
        <v>2259</v>
      </c>
      <c r="I185" s="6" t="s">
        <v>2122</v>
      </c>
      <c r="J185" s="6" t="s">
        <v>2123</v>
      </c>
      <c r="K185" s="7" t="n">
        <v>45930</v>
      </c>
      <c r="L185" s="6" t="s">
        <v>68</v>
      </c>
      <c r="M185" s="7"/>
      <c r="N185" s="8" t="n">
        <f aca="false">IF(M185&lt;&gt;"",M185-Summary!$C$3,IF(K185="","",K185-Summary!$C$3))</f>
        <v>-375</v>
      </c>
      <c r="O185" s="6" t="s">
        <v>7</v>
      </c>
      <c r="P185" s="6" t="s">
        <v>2260</v>
      </c>
      <c r="Q185" s="6" t="s">
        <v>110</v>
      </c>
      <c r="R185" s="6" t="s">
        <v>2261</v>
      </c>
      <c r="S185" s="6" t="s">
        <v>2262</v>
      </c>
      <c r="T185" s="6" t="s">
        <v>89</v>
      </c>
      <c r="U185" s="6" t="s">
        <v>2263</v>
      </c>
      <c r="V185" s="6" t="s">
        <v>2264</v>
      </c>
      <c r="W185" s="6" t="s">
        <v>2265</v>
      </c>
      <c r="X185" s="6" t="s">
        <v>2266</v>
      </c>
      <c r="Y185" s="6" t="s">
        <v>2267</v>
      </c>
      <c r="Z185" s="6" t="s">
        <v>128</v>
      </c>
      <c r="AA185" s="6" t="s">
        <v>194</v>
      </c>
    </row>
    <row r="186" customFormat="false" ht="53.7" hidden="false" customHeight="false" outlineLevel="0" collapsed="false">
      <c r="A186" s="6" t="s">
        <v>2268</v>
      </c>
      <c r="B186" s="6" t="s">
        <v>2269</v>
      </c>
      <c r="C186" s="6" t="s">
        <v>2270</v>
      </c>
      <c r="D186" s="6" t="s">
        <v>2271</v>
      </c>
      <c r="E186" s="6" t="s">
        <v>17</v>
      </c>
      <c r="F186" s="6" t="s">
        <v>224</v>
      </c>
      <c r="G186" s="6" t="s">
        <v>2272</v>
      </c>
      <c r="H186" s="6" t="s">
        <v>226</v>
      </c>
      <c r="I186" s="6" t="s">
        <v>2273</v>
      </c>
      <c r="J186" s="6" t="s">
        <v>2274</v>
      </c>
      <c r="K186" s="7" t="n">
        <v>46203</v>
      </c>
      <c r="L186" s="6" t="s">
        <v>68</v>
      </c>
      <c r="M186" s="7"/>
      <c r="N186" s="8" t="n">
        <f aca="false">IF(M186&lt;&gt;"",M186-Summary!$C$3,IF(K186="","",K186-Summary!$C$3))</f>
        <v>-102</v>
      </c>
      <c r="O186" s="6" t="s">
        <v>7</v>
      </c>
      <c r="P186" s="6" t="s">
        <v>2275</v>
      </c>
      <c r="Q186" s="6" t="s">
        <v>110</v>
      </c>
      <c r="R186" s="6" t="s">
        <v>89</v>
      </c>
      <c r="S186" s="6" t="s">
        <v>2276</v>
      </c>
      <c r="T186" s="6" t="s">
        <v>89</v>
      </c>
      <c r="U186" s="6" t="s">
        <v>2277</v>
      </c>
      <c r="V186" s="6" t="s">
        <v>2278</v>
      </c>
      <c r="W186" s="6" t="s">
        <v>2279</v>
      </c>
      <c r="X186" s="6" t="s">
        <v>2280</v>
      </c>
      <c r="Y186" s="6" t="s">
        <v>2281</v>
      </c>
      <c r="Z186" s="6" t="s">
        <v>79</v>
      </c>
      <c r="AA186" s="6" t="s">
        <v>80</v>
      </c>
    </row>
    <row r="187" customFormat="false" ht="53.7" hidden="false" customHeight="false" outlineLevel="0" collapsed="false">
      <c r="A187" s="6" t="s">
        <v>2282</v>
      </c>
      <c r="B187" s="6" t="s">
        <v>2283</v>
      </c>
      <c r="C187" s="6" t="s">
        <v>2282</v>
      </c>
      <c r="D187" s="6" t="s">
        <v>2284</v>
      </c>
      <c r="E187" s="6" t="s">
        <v>21</v>
      </c>
      <c r="F187" s="6" t="s">
        <v>289</v>
      </c>
      <c r="G187" s="6" t="s">
        <v>122</v>
      </c>
      <c r="H187" s="6" t="s">
        <v>568</v>
      </c>
      <c r="I187" s="6" t="s">
        <v>2285</v>
      </c>
      <c r="J187" s="6" t="s">
        <v>2286</v>
      </c>
      <c r="K187" s="7" t="n">
        <v>45305</v>
      </c>
      <c r="L187" s="6" t="s">
        <v>68</v>
      </c>
      <c r="M187" s="7"/>
      <c r="N187" s="8" t="n">
        <f aca="false">IF(M187&lt;&gt;"",M187-Summary!$C$3,IF(K187="","",K187-Summary!$C$3))</f>
        <v>-1000</v>
      </c>
      <c r="O187" s="6" t="s">
        <v>7</v>
      </c>
      <c r="P187" s="6" t="s">
        <v>69</v>
      </c>
      <c r="Q187" s="6" t="s">
        <v>2066</v>
      </c>
      <c r="R187" s="6" t="s">
        <v>2287</v>
      </c>
      <c r="S187" s="6" t="s">
        <v>2288</v>
      </c>
      <c r="T187" s="6" t="s">
        <v>2289</v>
      </c>
      <c r="U187" s="6" t="s">
        <v>89</v>
      </c>
      <c r="V187" s="6" t="s">
        <v>2290</v>
      </c>
      <c r="W187" s="6" t="s">
        <v>2291</v>
      </c>
      <c r="X187" s="6" t="s">
        <v>2292</v>
      </c>
      <c r="Y187" s="6" t="s">
        <v>2293</v>
      </c>
      <c r="Z187" s="6" t="s">
        <v>128</v>
      </c>
      <c r="AA187" s="6" t="s">
        <v>80</v>
      </c>
    </row>
    <row r="188" customFormat="false" ht="43.25" hidden="false" customHeight="false" outlineLevel="0" collapsed="false">
      <c r="A188" s="6" t="s">
        <v>1952</v>
      </c>
      <c r="B188" s="6" t="s">
        <v>1951</v>
      </c>
      <c r="C188" s="6" t="s">
        <v>2294</v>
      </c>
      <c r="D188" s="6" t="s">
        <v>2295</v>
      </c>
      <c r="E188" s="6" t="s">
        <v>21</v>
      </c>
      <c r="F188" s="6" t="s">
        <v>2296</v>
      </c>
      <c r="G188" s="6" t="s">
        <v>122</v>
      </c>
      <c r="H188" s="6" t="s">
        <v>568</v>
      </c>
      <c r="I188" s="6" t="s">
        <v>2297</v>
      </c>
      <c r="J188" s="6" t="s">
        <v>2298</v>
      </c>
      <c r="K188" s="7" t="n">
        <v>45199</v>
      </c>
      <c r="L188" s="6" t="s">
        <v>68</v>
      </c>
      <c r="M188" s="7"/>
      <c r="N188" s="8" t="n">
        <f aca="false">IF(M188&lt;&gt;"",M188-Summary!$C$3,IF(K188="","",K188-Summary!$C$3))</f>
        <v>-1106</v>
      </c>
      <c r="O188" s="6" t="s">
        <v>7</v>
      </c>
      <c r="P188" s="6" t="s">
        <v>69</v>
      </c>
      <c r="Q188" s="6" t="s">
        <v>2299</v>
      </c>
      <c r="R188" s="6" t="s">
        <v>2300</v>
      </c>
      <c r="S188" s="6" t="s">
        <v>2301</v>
      </c>
      <c r="T188" s="6" t="s">
        <v>2302</v>
      </c>
      <c r="U188" s="6" t="s">
        <v>2303</v>
      </c>
      <c r="V188" s="6" t="s">
        <v>2304</v>
      </c>
      <c r="W188" s="6" t="s">
        <v>2305</v>
      </c>
      <c r="X188" s="6" t="s">
        <v>2306</v>
      </c>
      <c r="Y188" s="6" t="s">
        <v>2307</v>
      </c>
      <c r="Z188" s="6" t="s">
        <v>79</v>
      </c>
      <c r="AA188" s="6" t="s">
        <v>80</v>
      </c>
    </row>
    <row r="189" customFormat="false" ht="53.7" hidden="false" customHeight="false" outlineLevel="0" collapsed="false">
      <c r="A189" s="6" t="s">
        <v>1950</v>
      </c>
      <c r="B189" s="6" t="s">
        <v>1951</v>
      </c>
      <c r="C189" s="6" t="s">
        <v>2294</v>
      </c>
      <c r="D189" s="6" t="s">
        <v>2308</v>
      </c>
      <c r="E189" s="6" t="s">
        <v>17</v>
      </c>
      <c r="F189" s="6" t="s">
        <v>147</v>
      </c>
      <c r="G189" s="6" t="s">
        <v>122</v>
      </c>
      <c r="H189" s="6" t="s">
        <v>568</v>
      </c>
      <c r="I189" s="6" t="s">
        <v>2309</v>
      </c>
      <c r="J189" s="6" t="s">
        <v>2310</v>
      </c>
      <c r="K189" s="7" t="n">
        <v>45199</v>
      </c>
      <c r="L189" s="6" t="s">
        <v>68</v>
      </c>
      <c r="M189" s="7"/>
      <c r="N189" s="8" t="n">
        <f aca="false">IF(M189&lt;&gt;"",M189-Summary!$C$3,IF(K189="","",K189-Summary!$C$3))</f>
        <v>-1106</v>
      </c>
      <c r="O189" s="6" t="s">
        <v>7</v>
      </c>
      <c r="P189" s="6" t="s">
        <v>89</v>
      </c>
      <c r="Q189" s="6" t="s">
        <v>89</v>
      </c>
      <c r="R189" s="6" t="s">
        <v>89</v>
      </c>
      <c r="S189" s="6" t="s">
        <v>2311</v>
      </c>
      <c r="T189" s="6" t="s">
        <v>89</v>
      </c>
      <c r="U189" s="6" t="s">
        <v>89</v>
      </c>
      <c r="V189" s="6" t="s">
        <v>89</v>
      </c>
      <c r="W189" s="6" t="s">
        <v>89</v>
      </c>
      <c r="X189" s="6" t="s">
        <v>89</v>
      </c>
      <c r="Y189" s="6" t="s">
        <v>2312</v>
      </c>
      <c r="Z189" s="6" t="s">
        <v>79</v>
      </c>
      <c r="AA189" s="6" t="s">
        <v>80</v>
      </c>
    </row>
    <row r="190" customFormat="false" ht="64.15" hidden="false" customHeight="false" outlineLevel="0" collapsed="false">
      <c r="A190" s="6" t="s">
        <v>2313</v>
      </c>
      <c r="B190" s="6" t="s">
        <v>2314</v>
      </c>
      <c r="C190" s="6" t="s">
        <v>2315</v>
      </c>
      <c r="D190" s="6" t="s">
        <v>2316</v>
      </c>
      <c r="E190" s="6" t="s">
        <v>21</v>
      </c>
      <c r="F190" s="6" t="s">
        <v>289</v>
      </c>
      <c r="G190" s="6" t="s">
        <v>122</v>
      </c>
      <c r="H190" s="6" t="s">
        <v>568</v>
      </c>
      <c r="I190" s="6" t="s">
        <v>2317</v>
      </c>
      <c r="J190" s="6" t="s">
        <v>2318</v>
      </c>
      <c r="K190" s="7" t="n">
        <v>45350</v>
      </c>
      <c r="L190" s="6" t="s">
        <v>68</v>
      </c>
      <c r="M190" s="7"/>
      <c r="N190" s="8" t="n">
        <f aca="false">IF(M190&lt;&gt;"",M190-Summary!$C$3,IF(K190="","",K190-Summary!$C$3))</f>
        <v>-955</v>
      </c>
      <c r="O190" s="6" t="s">
        <v>7</v>
      </c>
      <c r="P190" s="6" t="s">
        <v>69</v>
      </c>
      <c r="Q190" s="6" t="s">
        <v>2066</v>
      </c>
      <c r="R190" s="6" t="s">
        <v>2319</v>
      </c>
      <c r="S190" s="6" t="s">
        <v>2320</v>
      </c>
      <c r="T190" s="6" t="s">
        <v>2321</v>
      </c>
      <c r="U190" s="6" t="s">
        <v>89</v>
      </c>
      <c r="V190" s="6" t="s">
        <v>2322</v>
      </c>
      <c r="W190" s="6" t="s">
        <v>2323</v>
      </c>
      <c r="X190" s="6" t="s">
        <v>2324</v>
      </c>
      <c r="Y190" s="6" t="s">
        <v>2325</v>
      </c>
      <c r="Z190" s="6" t="s">
        <v>128</v>
      </c>
      <c r="AA190" s="6" t="s">
        <v>80</v>
      </c>
    </row>
    <row r="191" customFormat="false" ht="43.25" hidden="false" customHeight="false" outlineLevel="0" collapsed="false">
      <c r="A191" s="6" t="s">
        <v>2326</v>
      </c>
      <c r="B191" s="6" t="s">
        <v>2326</v>
      </c>
      <c r="C191" s="6" t="s">
        <v>2327</v>
      </c>
      <c r="D191" s="6" t="s">
        <v>2328</v>
      </c>
      <c r="E191" s="6" t="s">
        <v>21</v>
      </c>
      <c r="F191" s="6" t="s">
        <v>289</v>
      </c>
      <c r="G191" s="6" t="s">
        <v>122</v>
      </c>
      <c r="H191" s="6" t="s">
        <v>568</v>
      </c>
      <c r="I191" s="6" t="s">
        <v>2329</v>
      </c>
      <c r="J191" s="6" t="s">
        <v>2330</v>
      </c>
      <c r="K191" s="7" t="n">
        <v>44681</v>
      </c>
      <c r="L191" s="6" t="s">
        <v>68</v>
      </c>
      <c r="M191" s="7"/>
      <c r="N191" s="8" t="n">
        <f aca="false">IF(M191&lt;&gt;"",M191-Summary!$C$3,IF(K191="","",K191-Summary!$C$3))</f>
        <v>-1624</v>
      </c>
      <c r="O191" s="6" t="s">
        <v>7</v>
      </c>
      <c r="P191" s="6" t="s">
        <v>69</v>
      </c>
      <c r="Q191" s="6" t="s">
        <v>584</v>
      </c>
      <c r="R191" s="6" t="s">
        <v>2331</v>
      </c>
      <c r="S191" s="6" t="s">
        <v>2332</v>
      </c>
      <c r="T191" s="6" t="s">
        <v>2069</v>
      </c>
      <c r="U191" s="6" t="s">
        <v>89</v>
      </c>
      <c r="V191" s="6" t="s">
        <v>2333</v>
      </c>
      <c r="W191" s="6" t="s">
        <v>2334</v>
      </c>
      <c r="X191" s="6" t="s">
        <v>2335</v>
      </c>
      <c r="Y191" s="6" t="s">
        <v>2336</v>
      </c>
      <c r="Z191" s="6" t="s">
        <v>79</v>
      </c>
      <c r="AA191" s="6" t="s">
        <v>194</v>
      </c>
    </row>
    <row r="192" customFormat="false" ht="53.7" hidden="false" customHeight="false" outlineLevel="0" collapsed="false">
      <c r="A192" s="6" t="s">
        <v>1840</v>
      </c>
      <c r="B192" s="6" t="s">
        <v>2337</v>
      </c>
      <c r="C192" s="6" t="s">
        <v>1842</v>
      </c>
      <c r="D192" s="6" t="s">
        <v>2338</v>
      </c>
      <c r="E192" s="6" t="s">
        <v>25</v>
      </c>
      <c r="F192" s="6" t="s">
        <v>224</v>
      </c>
      <c r="G192" s="6" t="s">
        <v>122</v>
      </c>
      <c r="H192" s="6" t="s">
        <v>226</v>
      </c>
      <c r="I192" s="6" t="s">
        <v>2339</v>
      </c>
      <c r="J192" s="6" t="s">
        <v>1572</v>
      </c>
      <c r="K192" s="7" t="n">
        <v>45961</v>
      </c>
      <c r="L192" s="6" t="s">
        <v>68</v>
      </c>
      <c r="M192" s="7"/>
      <c r="N192" s="8" t="n">
        <f aca="false">IF(M192&lt;&gt;"",M192-Summary!$C$3,IF(K192="","",K192-Summary!$C$3))</f>
        <v>-344</v>
      </c>
      <c r="O192" s="6" t="s">
        <v>7</v>
      </c>
      <c r="P192" s="6" t="s">
        <v>2340</v>
      </c>
      <c r="Q192" s="6" t="s">
        <v>2341</v>
      </c>
      <c r="R192" s="6" t="s">
        <v>2342</v>
      </c>
      <c r="S192" s="6" t="s">
        <v>2343</v>
      </c>
      <c r="T192" s="6" t="s">
        <v>89</v>
      </c>
      <c r="U192" s="6" t="s">
        <v>2344</v>
      </c>
      <c r="V192" s="6" t="s">
        <v>2345</v>
      </c>
      <c r="W192" s="6" t="s">
        <v>2346</v>
      </c>
      <c r="X192" s="6" t="s">
        <v>2347</v>
      </c>
      <c r="Y192" s="6" t="s">
        <v>2348</v>
      </c>
      <c r="Z192" s="6" t="s">
        <v>79</v>
      </c>
      <c r="AA192" s="6" t="s">
        <v>194</v>
      </c>
    </row>
    <row r="193" customFormat="false" ht="43.25" hidden="false" customHeight="false" outlineLevel="0" collapsed="false">
      <c r="A193" s="6" t="s">
        <v>2349</v>
      </c>
      <c r="B193" s="6" t="s">
        <v>2349</v>
      </c>
      <c r="C193" s="6" t="s">
        <v>2350</v>
      </c>
      <c r="D193" s="6" t="s">
        <v>2351</v>
      </c>
      <c r="E193" s="6" t="s">
        <v>21</v>
      </c>
      <c r="F193" s="6" t="s">
        <v>224</v>
      </c>
      <c r="G193" s="6" t="s">
        <v>122</v>
      </c>
      <c r="H193" s="6" t="s">
        <v>568</v>
      </c>
      <c r="I193" s="6" t="s">
        <v>2352</v>
      </c>
      <c r="J193" s="6" t="s">
        <v>2353</v>
      </c>
      <c r="K193" s="7" t="n">
        <v>44269</v>
      </c>
      <c r="L193" s="6" t="s">
        <v>68</v>
      </c>
      <c r="M193" s="7"/>
      <c r="N193" s="8" t="n">
        <f aca="false">IF(M193&lt;&gt;"",M193-Summary!$C$3,IF(K193="","",K193-Summary!$C$3))</f>
        <v>-2036</v>
      </c>
      <c r="O193" s="6" t="s">
        <v>7</v>
      </c>
      <c r="P193" s="6" t="s">
        <v>2354</v>
      </c>
      <c r="Q193" s="6" t="s">
        <v>2066</v>
      </c>
      <c r="R193" s="6" t="s">
        <v>2355</v>
      </c>
      <c r="S193" s="6" t="s">
        <v>2356</v>
      </c>
      <c r="T193" s="6" t="s">
        <v>2357</v>
      </c>
      <c r="U193" s="6" t="s">
        <v>89</v>
      </c>
      <c r="V193" s="6" t="s">
        <v>2358</v>
      </c>
      <c r="W193" s="6" t="s">
        <v>2359</v>
      </c>
      <c r="X193" s="6" t="s">
        <v>2360</v>
      </c>
      <c r="Y193" s="6" t="s">
        <v>2361</v>
      </c>
      <c r="Z193" s="6" t="s">
        <v>79</v>
      </c>
      <c r="AA193" s="6" t="s">
        <v>194</v>
      </c>
    </row>
    <row r="194" customFormat="false" ht="53.7" hidden="false" customHeight="false" outlineLevel="0" collapsed="false">
      <c r="A194" s="6" t="s">
        <v>2349</v>
      </c>
      <c r="B194" s="6" t="s">
        <v>2349</v>
      </c>
      <c r="C194" s="6" t="s">
        <v>2350</v>
      </c>
      <c r="D194" s="6" t="s">
        <v>2362</v>
      </c>
      <c r="E194" s="6" t="s">
        <v>17</v>
      </c>
      <c r="F194" s="6" t="s">
        <v>224</v>
      </c>
      <c r="G194" s="6" t="s">
        <v>122</v>
      </c>
      <c r="H194" s="6" t="s">
        <v>568</v>
      </c>
      <c r="I194" s="6" t="s">
        <v>2363</v>
      </c>
      <c r="J194" s="6" t="s">
        <v>2364</v>
      </c>
      <c r="K194" s="7" t="n">
        <v>45107</v>
      </c>
      <c r="L194" s="6" t="s">
        <v>68</v>
      </c>
      <c r="M194" s="7"/>
      <c r="N194" s="8" t="n">
        <f aca="false">IF(M194&lt;&gt;"",M194-Summary!$C$3,IF(K194="","",K194-Summary!$C$3))</f>
        <v>-1198</v>
      </c>
      <c r="O194" s="6" t="s">
        <v>7</v>
      </c>
      <c r="P194" s="6" t="s">
        <v>89</v>
      </c>
      <c r="Q194" s="6" t="s">
        <v>89</v>
      </c>
      <c r="R194" s="6" t="s">
        <v>2365</v>
      </c>
      <c r="S194" s="6" t="s">
        <v>2366</v>
      </c>
      <c r="T194" s="6" t="s">
        <v>89</v>
      </c>
      <c r="U194" s="6" t="s">
        <v>89</v>
      </c>
      <c r="V194" s="6" t="s">
        <v>89</v>
      </c>
      <c r="W194" s="6" t="s">
        <v>89</v>
      </c>
      <c r="X194" s="6" t="s">
        <v>2367</v>
      </c>
      <c r="Y194" s="6" t="s">
        <v>2368</v>
      </c>
      <c r="Z194" s="6" t="s">
        <v>79</v>
      </c>
      <c r="AA194" s="6" t="s">
        <v>194</v>
      </c>
    </row>
    <row r="195" customFormat="false" ht="43.25" hidden="false" customHeight="false" outlineLevel="0" collapsed="false">
      <c r="A195" s="6" t="s">
        <v>2369</v>
      </c>
      <c r="B195" s="6" t="s">
        <v>2369</v>
      </c>
      <c r="C195" s="6" t="s">
        <v>2370</v>
      </c>
      <c r="D195" s="6" t="s">
        <v>2371</v>
      </c>
      <c r="E195" s="6" t="s">
        <v>21</v>
      </c>
      <c r="F195" s="6" t="s">
        <v>2372</v>
      </c>
      <c r="G195" s="6" t="s">
        <v>122</v>
      </c>
      <c r="H195" s="6" t="s">
        <v>568</v>
      </c>
      <c r="I195" s="6" t="s">
        <v>2373</v>
      </c>
      <c r="J195" s="6" t="s">
        <v>2374</v>
      </c>
      <c r="K195" s="7" t="n">
        <v>45864</v>
      </c>
      <c r="L195" s="6" t="s">
        <v>68</v>
      </c>
      <c r="M195" s="7"/>
      <c r="N195" s="8" t="n">
        <f aca="false">IF(M195&lt;&gt;"",M195-Summary!$C$3,IF(K195="","",K195-Summary!$C$3))</f>
        <v>-441</v>
      </c>
      <c r="O195" s="6" t="s">
        <v>7</v>
      </c>
      <c r="P195" s="6" t="s">
        <v>69</v>
      </c>
      <c r="Q195" s="6" t="s">
        <v>2066</v>
      </c>
      <c r="R195" s="6" t="s">
        <v>2375</v>
      </c>
      <c r="S195" s="6" t="s">
        <v>2376</v>
      </c>
      <c r="T195" s="6" t="s">
        <v>2069</v>
      </c>
      <c r="U195" s="6" t="s">
        <v>89</v>
      </c>
      <c r="V195" s="6" t="s">
        <v>2290</v>
      </c>
      <c r="W195" s="6" t="s">
        <v>2377</v>
      </c>
      <c r="X195" s="6" t="s">
        <v>2378</v>
      </c>
      <c r="Y195" s="6" t="s">
        <v>2379</v>
      </c>
      <c r="Z195" s="6" t="s">
        <v>79</v>
      </c>
      <c r="AA195" s="6" t="s">
        <v>194</v>
      </c>
    </row>
    <row r="196" customFormat="false" ht="74.6" hidden="false" customHeight="false" outlineLevel="0" collapsed="false">
      <c r="A196" s="6" t="s">
        <v>2380</v>
      </c>
      <c r="B196" s="6" t="s">
        <v>2381</v>
      </c>
      <c r="C196" s="6" t="s">
        <v>2382</v>
      </c>
      <c r="D196" s="6" t="s">
        <v>2383</v>
      </c>
      <c r="E196" s="6" t="s">
        <v>21</v>
      </c>
      <c r="F196" s="6" t="s">
        <v>289</v>
      </c>
      <c r="G196" s="6" t="s">
        <v>122</v>
      </c>
      <c r="H196" s="6" t="s">
        <v>568</v>
      </c>
      <c r="I196" s="6" t="s">
        <v>2384</v>
      </c>
      <c r="J196" s="6" t="s">
        <v>2385</v>
      </c>
      <c r="K196" s="7" t="n">
        <v>44957</v>
      </c>
      <c r="L196" s="6" t="s">
        <v>68</v>
      </c>
      <c r="M196" s="7"/>
      <c r="N196" s="8" t="n">
        <f aca="false">IF(M196&lt;&gt;"",M196-Summary!$C$3,IF(K196="","",K196-Summary!$C$3))</f>
        <v>-1348</v>
      </c>
      <c r="O196" s="6" t="s">
        <v>7</v>
      </c>
      <c r="P196" s="6" t="s">
        <v>69</v>
      </c>
      <c r="Q196" s="6" t="s">
        <v>2066</v>
      </c>
      <c r="R196" s="6" t="s">
        <v>2287</v>
      </c>
      <c r="S196" s="6" t="s">
        <v>2386</v>
      </c>
      <c r="T196" s="6" t="s">
        <v>2289</v>
      </c>
      <c r="U196" s="6" t="s">
        <v>89</v>
      </c>
      <c r="V196" s="6" t="s">
        <v>2290</v>
      </c>
      <c r="W196" s="6" t="s">
        <v>2387</v>
      </c>
      <c r="X196" s="6" t="s">
        <v>2388</v>
      </c>
      <c r="Y196" s="6" t="s">
        <v>2389</v>
      </c>
      <c r="Z196" s="6" t="s">
        <v>79</v>
      </c>
      <c r="AA196" s="6" t="s">
        <v>80</v>
      </c>
    </row>
    <row r="197" customFormat="false" ht="32.8" hidden="false" customHeight="false" outlineLevel="0" collapsed="false">
      <c r="A197" s="6" t="s">
        <v>2390</v>
      </c>
      <c r="B197" s="6" t="s">
        <v>2391</v>
      </c>
      <c r="C197" s="6" t="s">
        <v>2392</v>
      </c>
      <c r="D197" s="6" t="s">
        <v>2393</v>
      </c>
      <c r="E197" s="6" t="s">
        <v>21</v>
      </c>
      <c r="F197" s="6" t="s">
        <v>224</v>
      </c>
      <c r="G197" s="6" t="s">
        <v>122</v>
      </c>
      <c r="H197" s="6" t="s">
        <v>568</v>
      </c>
      <c r="I197" s="6" t="s">
        <v>2394</v>
      </c>
      <c r="J197" s="6" t="s">
        <v>2395</v>
      </c>
      <c r="K197" s="7" t="n">
        <v>45077</v>
      </c>
      <c r="L197" s="6" t="s">
        <v>68</v>
      </c>
      <c r="M197" s="7"/>
      <c r="N197" s="8" t="n">
        <f aca="false">IF(M197&lt;&gt;"",M197-Summary!$C$3,IF(K197="","",K197-Summary!$C$3))</f>
        <v>-1228</v>
      </c>
      <c r="O197" s="6" t="s">
        <v>7</v>
      </c>
      <c r="P197" s="6" t="s">
        <v>186</v>
      </c>
      <c r="Q197" s="6" t="s">
        <v>110</v>
      </c>
      <c r="R197" s="6" t="s">
        <v>2355</v>
      </c>
      <c r="S197" s="6" t="s">
        <v>2396</v>
      </c>
      <c r="T197" s="6" t="s">
        <v>2397</v>
      </c>
      <c r="U197" s="6" t="s">
        <v>89</v>
      </c>
      <c r="V197" s="6" t="s">
        <v>2398</v>
      </c>
      <c r="W197" s="6" t="s">
        <v>2399</v>
      </c>
      <c r="X197" s="6" t="s">
        <v>2400</v>
      </c>
      <c r="Y197" s="6" t="s">
        <v>2401</v>
      </c>
      <c r="Z197" s="6" t="s">
        <v>79</v>
      </c>
      <c r="AA197" s="6" t="s">
        <v>194</v>
      </c>
    </row>
    <row r="198" customFormat="false" ht="53.7" hidden="false" customHeight="false" outlineLevel="0" collapsed="false">
      <c r="A198" s="6" t="s">
        <v>2402</v>
      </c>
      <c r="B198" s="6" t="s">
        <v>2403</v>
      </c>
      <c r="C198" s="6" t="s">
        <v>2404</v>
      </c>
      <c r="D198" s="6" t="s">
        <v>2405</v>
      </c>
      <c r="E198" s="6" t="s">
        <v>19</v>
      </c>
      <c r="F198" s="6" t="s">
        <v>224</v>
      </c>
      <c r="G198" s="6" t="s">
        <v>2406</v>
      </c>
      <c r="H198" s="6" t="s">
        <v>413</v>
      </c>
      <c r="I198" s="6" t="s">
        <v>2407</v>
      </c>
      <c r="J198" s="6" t="s">
        <v>2408</v>
      </c>
      <c r="K198" s="7" t="n">
        <v>46022</v>
      </c>
      <c r="L198" s="6" t="s">
        <v>68</v>
      </c>
      <c r="M198" s="7"/>
      <c r="N198" s="8" t="n">
        <f aca="false">IF(M198&lt;&gt;"",M198-Summary!$C$3,IF(K198="","",K198-Summary!$C$3))</f>
        <v>-283</v>
      </c>
      <c r="O198" s="6" t="s">
        <v>7</v>
      </c>
      <c r="P198" s="6" t="s">
        <v>2409</v>
      </c>
      <c r="Q198" s="6" t="s">
        <v>2410</v>
      </c>
      <c r="R198" s="6" t="s">
        <v>2411</v>
      </c>
      <c r="S198" s="6" t="s">
        <v>2412</v>
      </c>
      <c r="T198" s="6" t="s">
        <v>2413</v>
      </c>
      <c r="U198" s="6" t="s">
        <v>2414</v>
      </c>
      <c r="V198" s="6" t="s">
        <v>845</v>
      </c>
      <c r="W198" s="6" t="s">
        <v>2415</v>
      </c>
      <c r="X198" s="6" t="s">
        <v>2416</v>
      </c>
      <c r="Y198" s="6" t="s">
        <v>2417</v>
      </c>
      <c r="Z198" s="6" t="s">
        <v>128</v>
      </c>
      <c r="AA198" s="6" t="s">
        <v>80</v>
      </c>
    </row>
    <row r="199" customFormat="false" ht="74.6" hidden="false" customHeight="false" outlineLevel="0" collapsed="false">
      <c r="A199" s="6" t="s">
        <v>2418</v>
      </c>
      <c r="B199" s="6" t="s">
        <v>2419</v>
      </c>
      <c r="C199" s="6" t="s">
        <v>2420</v>
      </c>
      <c r="D199" s="6" t="s">
        <v>2421</v>
      </c>
      <c r="E199" s="6" t="s">
        <v>21</v>
      </c>
      <c r="F199" s="6" t="s">
        <v>224</v>
      </c>
      <c r="G199" s="6" t="s">
        <v>122</v>
      </c>
      <c r="H199" s="6" t="s">
        <v>568</v>
      </c>
      <c r="I199" s="6" t="s">
        <v>2422</v>
      </c>
      <c r="J199" s="6" t="s">
        <v>2423</v>
      </c>
      <c r="K199" s="7" t="n">
        <v>44926</v>
      </c>
      <c r="L199" s="6" t="s">
        <v>68</v>
      </c>
      <c r="M199" s="7"/>
      <c r="N199" s="8" t="n">
        <f aca="false">IF(M199&lt;&gt;"",M199-Summary!$C$3,IF(K199="","",K199-Summary!$C$3))</f>
        <v>-1379</v>
      </c>
      <c r="O199" s="6" t="s">
        <v>7</v>
      </c>
      <c r="P199" s="6" t="s">
        <v>2424</v>
      </c>
      <c r="Q199" s="6" t="s">
        <v>584</v>
      </c>
      <c r="R199" s="6" t="s">
        <v>2425</v>
      </c>
      <c r="S199" s="6" t="s">
        <v>2221</v>
      </c>
      <c r="T199" s="6" t="s">
        <v>2069</v>
      </c>
      <c r="U199" s="6" t="s">
        <v>89</v>
      </c>
      <c r="V199" s="6" t="s">
        <v>2426</v>
      </c>
      <c r="W199" s="6" t="s">
        <v>2427</v>
      </c>
      <c r="X199" s="6" t="s">
        <v>2428</v>
      </c>
      <c r="Y199" s="6" t="s">
        <v>2429</v>
      </c>
      <c r="Z199" s="6" t="s">
        <v>128</v>
      </c>
      <c r="AA199" s="6" t="s">
        <v>194</v>
      </c>
    </row>
    <row r="200" customFormat="false" ht="43.25" hidden="false" customHeight="false" outlineLevel="0" collapsed="false">
      <c r="A200" s="6" t="s">
        <v>2430</v>
      </c>
      <c r="B200" s="6" t="s">
        <v>2430</v>
      </c>
      <c r="C200" s="6" t="s">
        <v>2431</v>
      </c>
      <c r="D200" s="6" t="s">
        <v>2432</v>
      </c>
      <c r="E200" s="6" t="s">
        <v>21</v>
      </c>
      <c r="F200" s="6" t="s">
        <v>289</v>
      </c>
      <c r="G200" s="6" t="s">
        <v>122</v>
      </c>
      <c r="H200" s="6" t="s">
        <v>568</v>
      </c>
      <c r="I200" s="6" t="s">
        <v>2433</v>
      </c>
      <c r="J200" s="6" t="s">
        <v>2434</v>
      </c>
      <c r="K200" s="7" t="n">
        <v>44408</v>
      </c>
      <c r="L200" s="6" t="s">
        <v>68</v>
      </c>
      <c r="M200" s="7"/>
      <c r="N200" s="8" t="n">
        <f aca="false">IF(M200&lt;&gt;"",M200-Summary!$C$3,IF(K200="","",K200-Summary!$C$3))</f>
        <v>-1897</v>
      </c>
      <c r="O200" s="6" t="s">
        <v>7</v>
      </c>
      <c r="P200" s="6" t="s">
        <v>69</v>
      </c>
      <c r="Q200" s="6" t="s">
        <v>2066</v>
      </c>
      <c r="R200" s="6" t="s">
        <v>2151</v>
      </c>
      <c r="S200" s="6" t="s">
        <v>2435</v>
      </c>
      <c r="T200" s="6" t="s">
        <v>2069</v>
      </c>
      <c r="U200" s="6" t="s">
        <v>89</v>
      </c>
      <c r="V200" s="6" t="s">
        <v>2436</v>
      </c>
      <c r="W200" s="6" t="s">
        <v>2359</v>
      </c>
      <c r="X200" s="6" t="s">
        <v>2437</v>
      </c>
      <c r="Y200" s="6" t="s">
        <v>2438</v>
      </c>
      <c r="Z200" s="6" t="s">
        <v>79</v>
      </c>
      <c r="AA200" s="6" t="s">
        <v>194</v>
      </c>
    </row>
    <row r="201" customFormat="false" ht="43.25" hidden="false" customHeight="false" outlineLevel="0" collapsed="false">
      <c r="A201" s="6" t="s">
        <v>2439</v>
      </c>
      <c r="B201" s="6" t="s">
        <v>2440</v>
      </c>
      <c r="C201" s="6" t="s">
        <v>2439</v>
      </c>
      <c r="D201" s="6" t="s">
        <v>2441</v>
      </c>
      <c r="E201" s="6" t="s">
        <v>20</v>
      </c>
      <c r="F201" s="6" t="s">
        <v>224</v>
      </c>
      <c r="G201" s="6" t="s">
        <v>1250</v>
      </c>
      <c r="H201" s="6" t="s">
        <v>65</v>
      </c>
      <c r="I201" s="6" t="s">
        <v>2442</v>
      </c>
      <c r="J201" s="6" t="s">
        <v>1813</v>
      </c>
      <c r="K201" s="7" t="n">
        <v>46204</v>
      </c>
      <c r="L201" s="6" t="s">
        <v>68</v>
      </c>
      <c r="M201" s="7"/>
      <c r="N201" s="8" t="n">
        <f aca="false">IF(M201&lt;&gt;"",M201-Summary!$C$3,IF(K201="","",K201-Summary!$C$3))</f>
        <v>-101</v>
      </c>
      <c r="O201" s="6" t="s">
        <v>7</v>
      </c>
      <c r="P201" s="6" t="s">
        <v>89</v>
      </c>
      <c r="Q201" s="6" t="s">
        <v>89</v>
      </c>
      <c r="R201" s="6" t="s">
        <v>2443</v>
      </c>
      <c r="S201" s="6" t="s">
        <v>1815</v>
      </c>
      <c r="T201" s="6" t="s">
        <v>89</v>
      </c>
      <c r="U201" s="6" t="s">
        <v>89</v>
      </c>
      <c r="V201" s="6" t="s">
        <v>2444</v>
      </c>
      <c r="W201" s="6" t="s">
        <v>89</v>
      </c>
      <c r="X201" s="6" t="s">
        <v>89</v>
      </c>
      <c r="Y201" s="6" t="s">
        <v>2445</v>
      </c>
      <c r="Z201" s="6" t="s">
        <v>128</v>
      </c>
      <c r="AA201" s="6" t="s">
        <v>80</v>
      </c>
    </row>
    <row r="202" customFormat="false" ht="43.25" hidden="false" customHeight="false" outlineLevel="0" collapsed="false">
      <c r="A202" s="6" t="s">
        <v>1106</v>
      </c>
      <c r="B202" s="6" t="s">
        <v>2446</v>
      </c>
      <c r="C202" s="6" t="s">
        <v>1108</v>
      </c>
      <c r="D202" s="6" t="s">
        <v>2447</v>
      </c>
      <c r="E202" s="6" t="s">
        <v>18</v>
      </c>
      <c r="F202" s="6" t="s">
        <v>224</v>
      </c>
      <c r="G202" s="6" t="s">
        <v>122</v>
      </c>
      <c r="H202" s="6" t="s">
        <v>2448</v>
      </c>
      <c r="I202" s="6" t="s">
        <v>2449</v>
      </c>
      <c r="J202" s="6" t="s">
        <v>2450</v>
      </c>
      <c r="K202" s="7" t="n">
        <v>46265</v>
      </c>
      <c r="L202" s="6" t="s">
        <v>68</v>
      </c>
      <c r="M202" s="7"/>
      <c r="N202" s="8" t="n">
        <f aca="false">IF(M202&lt;&gt;"",M202-Summary!$C$3,IF(K202="","",K202-Summary!$C$3))</f>
        <v>-40</v>
      </c>
      <c r="O202" s="6" t="s">
        <v>7</v>
      </c>
      <c r="P202" s="6" t="s">
        <v>2451</v>
      </c>
      <c r="Q202" s="6" t="s">
        <v>2452</v>
      </c>
      <c r="R202" s="6" t="s">
        <v>2453</v>
      </c>
      <c r="S202" s="6" t="s">
        <v>2454</v>
      </c>
      <c r="T202" s="6" t="s">
        <v>2455</v>
      </c>
      <c r="U202" s="6" t="s">
        <v>89</v>
      </c>
      <c r="V202" s="6" t="s">
        <v>2456</v>
      </c>
      <c r="W202" s="6" t="s">
        <v>89</v>
      </c>
      <c r="X202" s="6" t="s">
        <v>89</v>
      </c>
      <c r="Y202" s="6" t="s">
        <v>2457</v>
      </c>
      <c r="Z202" s="6" t="s">
        <v>79</v>
      </c>
      <c r="AA202" s="6" t="s">
        <v>80</v>
      </c>
    </row>
    <row r="203" customFormat="false" ht="43.25" hidden="false" customHeight="false" outlineLevel="0" collapsed="false">
      <c r="A203" s="6" t="s">
        <v>2458</v>
      </c>
      <c r="B203" s="6" t="s">
        <v>2459</v>
      </c>
      <c r="C203" s="6" t="s">
        <v>7</v>
      </c>
      <c r="D203" s="6" t="s">
        <v>2460</v>
      </c>
      <c r="E203" s="6" t="s">
        <v>26</v>
      </c>
      <c r="F203" s="6" t="s">
        <v>199</v>
      </c>
      <c r="G203" s="6" t="s">
        <v>2461</v>
      </c>
      <c r="H203" s="6" t="s">
        <v>1082</v>
      </c>
      <c r="I203" s="6" t="s">
        <v>2462</v>
      </c>
      <c r="J203" s="6" t="s">
        <v>2463</v>
      </c>
      <c r="K203" s="7" t="n">
        <v>45688</v>
      </c>
      <c r="L203" s="6" t="s">
        <v>68</v>
      </c>
      <c r="M203" s="7"/>
      <c r="N203" s="8" t="n">
        <f aca="false">IF(M203&lt;&gt;"",M203-Summary!$C$3,IF(K203="","",K203-Summary!$C$3))</f>
        <v>-617</v>
      </c>
      <c r="O203" s="6" t="s">
        <v>7</v>
      </c>
      <c r="P203" s="6" t="s">
        <v>2464</v>
      </c>
      <c r="Q203" s="6" t="s">
        <v>89</v>
      </c>
      <c r="R203" s="6" t="s">
        <v>2465</v>
      </c>
      <c r="S203" s="6" t="s">
        <v>2466</v>
      </c>
      <c r="T203" s="6" t="s">
        <v>89</v>
      </c>
      <c r="U203" s="6" t="s">
        <v>89</v>
      </c>
      <c r="V203" s="6" t="s">
        <v>2467</v>
      </c>
      <c r="W203" s="6" t="s">
        <v>2468</v>
      </c>
      <c r="X203" s="6" t="s">
        <v>2469</v>
      </c>
      <c r="Y203" s="6" t="s">
        <v>2470</v>
      </c>
      <c r="Z203" s="6" t="s">
        <v>79</v>
      </c>
      <c r="AA203" s="6" t="s">
        <v>80</v>
      </c>
    </row>
    <row r="204" customFormat="false" ht="32.8" hidden="false" customHeight="false" outlineLevel="0" collapsed="false">
      <c r="A204" s="6" t="s">
        <v>2471</v>
      </c>
      <c r="B204" s="6" t="s">
        <v>2472</v>
      </c>
      <c r="C204" s="6" t="s">
        <v>2473</v>
      </c>
      <c r="D204" s="6" t="s">
        <v>2474</v>
      </c>
      <c r="E204" s="6" t="s">
        <v>21</v>
      </c>
      <c r="F204" s="6" t="s">
        <v>289</v>
      </c>
      <c r="G204" s="6" t="s">
        <v>122</v>
      </c>
      <c r="H204" s="6" t="s">
        <v>568</v>
      </c>
      <c r="I204" s="6" t="s">
        <v>2475</v>
      </c>
      <c r="J204" s="6" t="s">
        <v>2476</v>
      </c>
      <c r="K204" s="7" t="n">
        <v>44910</v>
      </c>
      <c r="L204" s="6" t="s">
        <v>68</v>
      </c>
      <c r="M204" s="7"/>
      <c r="N204" s="8" t="n">
        <f aca="false">IF(M204&lt;&gt;"",M204-Summary!$C$3,IF(K204="","",K204-Summary!$C$3))</f>
        <v>-1395</v>
      </c>
      <c r="O204" s="6" t="s">
        <v>7</v>
      </c>
      <c r="P204" s="6" t="s">
        <v>69</v>
      </c>
      <c r="Q204" s="6" t="s">
        <v>584</v>
      </c>
      <c r="R204" s="6" t="s">
        <v>2207</v>
      </c>
      <c r="S204" s="6" t="s">
        <v>2477</v>
      </c>
      <c r="T204" s="6" t="s">
        <v>2069</v>
      </c>
      <c r="U204" s="6" t="s">
        <v>89</v>
      </c>
      <c r="V204" s="6" t="s">
        <v>2478</v>
      </c>
      <c r="W204" s="6" t="s">
        <v>2334</v>
      </c>
      <c r="X204" s="6" t="s">
        <v>2335</v>
      </c>
      <c r="Y204" s="6" t="s">
        <v>2479</v>
      </c>
      <c r="Z204" s="6" t="s">
        <v>79</v>
      </c>
      <c r="AA204" s="6" t="s">
        <v>194</v>
      </c>
    </row>
    <row r="205" customFormat="false" ht="43.25" hidden="false" customHeight="false" outlineLevel="0" collapsed="false">
      <c r="A205" s="6" t="s">
        <v>1140</v>
      </c>
      <c r="B205" s="6" t="s">
        <v>2480</v>
      </c>
      <c r="C205" s="6" t="s">
        <v>2481</v>
      </c>
      <c r="D205" s="6" t="s">
        <v>2482</v>
      </c>
      <c r="E205" s="6" t="s">
        <v>19</v>
      </c>
      <c r="F205" s="6" t="s">
        <v>147</v>
      </c>
      <c r="G205" s="6" t="s">
        <v>1157</v>
      </c>
      <c r="H205" s="6" t="s">
        <v>568</v>
      </c>
      <c r="I205" s="6" t="s">
        <v>2483</v>
      </c>
      <c r="J205" s="6" t="s">
        <v>2088</v>
      </c>
      <c r="K205" s="7" t="n">
        <v>45716</v>
      </c>
      <c r="L205" s="6" t="s">
        <v>68</v>
      </c>
      <c r="M205" s="7"/>
      <c r="N205" s="8" t="n">
        <f aca="false">IF(M205&lt;&gt;"",M205-Summary!$C$3,IF(K205="","",K205-Summary!$C$3))</f>
        <v>-589</v>
      </c>
      <c r="O205" s="6" t="s">
        <v>7</v>
      </c>
      <c r="P205" s="6" t="s">
        <v>2484</v>
      </c>
      <c r="Q205" s="6" t="s">
        <v>110</v>
      </c>
      <c r="R205" s="6" t="s">
        <v>2485</v>
      </c>
      <c r="S205" s="6" t="s">
        <v>2486</v>
      </c>
      <c r="T205" s="6" t="s">
        <v>1187</v>
      </c>
      <c r="U205" s="6" t="s">
        <v>2487</v>
      </c>
      <c r="V205" s="6" t="s">
        <v>2488</v>
      </c>
      <c r="W205" s="6" t="s">
        <v>2489</v>
      </c>
      <c r="X205" s="6" t="s">
        <v>2490</v>
      </c>
      <c r="Y205" s="6" t="s">
        <v>2491</v>
      </c>
      <c r="Z205" s="6" t="s">
        <v>79</v>
      </c>
      <c r="AA205" s="6" t="s">
        <v>80</v>
      </c>
    </row>
    <row r="206" customFormat="false" ht="43.25" hidden="false" customHeight="false" outlineLevel="0" collapsed="false">
      <c r="A206" s="6" t="s">
        <v>1140</v>
      </c>
      <c r="B206" s="6" t="s">
        <v>1141</v>
      </c>
      <c r="C206" s="6" t="s">
        <v>2492</v>
      </c>
      <c r="D206" s="6" t="s">
        <v>2493</v>
      </c>
      <c r="E206" s="6" t="s">
        <v>19</v>
      </c>
      <c r="F206" s="6" t="s">
        <v>147</v>
      </c>
      <c r="G206" s="6" t="s">
        <v>85</v>
      </c>
      <c r="H206" s="6" t="s">
        <v>568</v>
      </c>
      <c r="I206" s="6" t="s">
        <v>2087</v>
      </c>
      <c r="J206" s="6" t="s">
        <v>2088</v>
      </c>
      <c r="K206" s="7" t="n">
        <v>45716</v>
      </c>
      <c r="L206" s="6" t="s">
        <v>68</v>
      </c>
      <c r="M206" s="7"/>
      <c r="N206" s="8" t="n">
        <f aca="false">IF(M206&lt;&gt;"",M206-Summary!$C$3,IF(K206="","",K206-Summary!$C$3))</f>
        <v>-589</v>
      </c>
      <c r="O206" s="6" t="s">
        <v>7</v>
      </c>
      <c r="P206" s="6" t="s">
        <v>1056</v>
      </c>
      <c r="Q206" s="6" t="s">
        <v>110</v>
      </c>
      <c r="R206" s="6" t="s">
        <v>2494</v>
      </c>
      <c r="S206" s="6" t="s">
        <v>2495</v>
      </c>
      <c r="T206" s="6" t="s">
        <v>2496</v>
      </c>
      <c r="U206" s="6" t="s">
        <v>2497</v>
      </c>
      <c r="V206" s="6" t="s">
        <v>2498</v>
      </c>
      <c r="W206" s="6" t="s">
        <v>2499</v>
      </c>
      <c r="X206" s="6" t="s">
        <v>2500</v>
      </c>
      <c r="Y206" s="6" t="s">
        <v>2501</v>
      </c>
      <c r="Z206" s="6" t="s">
        <v>79</v>
      </c>
      <c r="AA206" s="6" t="s">
        <v>80</v>
      </c>
    </row>
    <row r="207" customFormat="false" ht="53.7" hidden="false" customHeight="false" outlineLevel="0" collapsed="false">
      <c r="A207" s="6" t="s">
        <v>1140</v>
      </c>
      <c r="B207" s="6" t="s">
        <v>1141</v>
      </c>
      <c r="C207" s="6" t="s">
        <v>2502</v>
      </c>
      <c r="D207" s="6" t="s">
        <v>2503</v>
      </c>
      <c r="E207" s="6" t="s">
        <v>19</v>
      </c>
      <c r="F207" s="6" t="s">
        <v>224</v>
      </c>
      <c r="G207" s="6" t="s">
        <v>893</v>
      </c>
      <c r="H207" s="6" t="s">
        <v>65</v>
      </c>
      <c r="I207" s="6" t="s">
        <v>2504</v>
      </c>
      <c r="J207" s="6" t="s">
        <v>2505</v>
      </c>
      <c r="K207" s="7" t="n">
        <v>45991</v>
      </c>
      <c r="L207" s="6" t="s">
        <v>68</v>
      </c>
      <c r="M207" s="7"/>
      <c r="N207" s="8" t="n">
        <f aca="false">IF(M207&lt;&gt;"",M207-Summary!$C$3,IF(K207="","",K207-Summary!$C$3))</f>
        <v>-314</v>
      </c>
      <c r="O207" s="6" t="s">
        <v>7</v>
      </c>
      <c r="P207" s="6" t="s">
        <v>1056</v>
      </c>
      <c r="Q207" s="6" t="s">
        <v>89</v>
      </c>
      <c r="R207" s="6" t="s">
        <v>2506</v>
      </c>
      <c r="S207" s="6" t="s">
        <v>2507</v>
      </c>
      <c r="T207" s="6" t="s">
        <v>2508</v>
      </c>
      <c r="U207" s="6" t="s">
        <v>2509</v>
      </c>
      <c r="V207" s="6" t="s">
        <v>2510</v>
      </c>
      <c r="W207" s="6" t="s">
        <v>2511</v>
      </c>
      <c r="X207" s="6" t="s">
        <v>2512</v>
      </c>
      <c r="Y207" s="6" t="s">
        <v>2513</v>
      </c>
      <c r="Z207" s="6" t="s">
        <v>79</v>
      </c>
      <c r="AA207" s="6" t="s">
        <v>80</v>
      </c>
    </row>
    <row r="208" customFormat="false" ht="43.25" hidden="false" customHeight="false" outlineLevel="0" collapsed="false">
      <c r="A208" s="6" t="s">
        <v>1140</v>
      </c>
      <c r="B208" s="6" t="s">
        <v>2514</v>
      </c>
      <c r="C208" s="6" t="s">
        <v>2502</v>
      </c>
      <c r="D208" s="6" t="s">
        <v>2515</v>
      </c>
      <c r="E208" s="6" t="s">
        <v>20</v>
      </c>
      <c r="F208" s="6" t="s">
        <v>224</v>
      </c>
      <c r="G208" s="6" t="s">
        <v>893</v>
      </c>
      <c r="H208" s="6" t="s">
        <v>65</v>
      </c>
      <c r="I208" s="6" t="s">
        <v>2516</v>
      </c>
      <c r="J208" s="6" t="s">
        <v>2505</v>
      </c>
      <c r="K208" s="7" t="n">
        <v>45991</v>
      </c>
      <c r="L208" s="6" t="s">
        <v>68</v>
      </c>
      <c r="M208" s="7"/>
      <c r="N208" s="8" t="n">
        <f aca="false">IF(M208&lt;&gt;"",M208-Summary!$C$3,IF(K208="","",K208-Summary!$C$3))</f>
        <v>-314</v>
      </c>
      <c r="O208" s="6" t="s">
        <v>7</v>
      </c>
      <c r="P208" s="6" t="s">
        <v>2517</v>
      </c>
      <c r="Q208" s="6" t="s">
        <v>110</v>
      </c>
      <c r="R208" s="6" t="s">
        <v>89</v>
      </c>
      <c r="S208" s="6" t="s">
        <v>2518</v>
      </c>
      <c r="T208" s="6" t="s">
        <v>89</v>
      </c>
      <c r="U208" s="6" t="s">
        <v>2519</v>
      </c>
      <c r="V208" s="6" t="s">
        <v>2520</v>
      </c>
      <c r="W208" s="6" t="s">
        <v>89</v>
      </c>
      <c r="X208" s="6" t="s">
        <v>89</v>
      </c>
      <c r="Y208" s="6" t="s">
        <v>2521</v>
      </c>
      <c r="Z208" s="6" t="s">
        <v>128</v>
      </c>
      <c r="AA208" s="6" t="s">
        <v>194</v>
      </c>
    </row>
    <row r="209" customFormat="false" ht="53.7" hidden="false" customHeight="false" outlineLevel="0" collapsed="false">
      <c r="A209" s="6" t="s">
        <v>2522</v>
      </c>
      <c r="B209" s="6" t="s">
        <v>2523</v>
      </c>
      <c r="C209" s="6" t="s">
        <v>2524</v>
      </c>
      <c r="D209" s="6" t="s">
        <v>2525</v>
      </c>
      <c r="E209" s="6" t="s">
        <v>21</v>
      </c>
      <c r="F209" s="6" t="s">
        <v>2526</v>
      </c>
      <c r="G209" s="6" t="s">
        <v>122</v>
      </c>
      <c r="H209" s="6" t="s">
        <v>2527</v>
      </c>
      <c r="I209" s="6" t="s">
        <v>2171</v>
      </c>
      <c r="J209" s="6" t="s">
        <v>2528</v>
      </c>
      <c r="K209" s="7" t="n">
        <v>45138</v>
      </c>
      <c r="L209" s="6" t="s">
        <v>68</v>
      </c>
      <c r="M209" s="7"/>
      <c r="N209" s="8" t="n">
        <f aca="false">IF(M209&lt;&gt;"",M209-Summary!$C$3,IF(K209="","",K209-Summary!$C$3))</f>
        <v>-1167</v>
      </c>
      <c r="O209" s="6" t="s">
        <v>7</v>
      </c>
      <c r="P209" s="6" t="s">
        <v>69</v>
      </c>
      <c r="Q209" s="6" t="s">
        <v>2529</v>
      </c>
      <c r="R209" s="6" t="s">
        <v>2530</v>
      </c>
      <c r="S209" s="6" t="s">
        <v>2531</v>
      </c>
      <c r="T209" s="6" t="s">
        <v>2532</v>
      </c>
      <c r="U209" s="6" t="s">
        <v>89</v>
      </c>
      <c r="V209" s="6" t="s">
        <v>2533</v>
      </c>
      <c r="W209" s="6" t="s">
        <v>2534</v>
      </c>
      <c r="X209" s="6" t="s">
        <v>2535</v>
      </c>
      <c r="Y209" s="6" t="s">
        <v>2536</v>
      </c>
      <c r="Z209" s="6" t="s">
        <v>79</v>
      </c>
      <c r="AA209" s="6" t="s">
        <v>194</v>
      </c>
    </row>
    <row r="210" customFormat="false" ht="32.8" hidden="false" customHeight="false" outlineLevel="0" collapsed="false">
      <c r="A210" s="6" t="s">
        <v>2522</v>
      </c>
      <c r="B210" s="6" t="s">
        <v>2523</v>
      </c>
      <c r="C210" s="6" t="s">
        <v>2524</v>
      </c>
      <c r="D210" s="6" t="s">
        <v>2537</v>
      </c>
      <c r="E210" s="6" t="s">
        <v>18</v>
      </c>
      <c r="F210" s="6" t="s">
        <v>2538</v>
      </c>
      <c r="G210" s="6" t="s">
        <v>122</v>
      </c>
      <c r="H210" s="6" t="s">
        <v>2539</v>
      </c>
      <c r="I210" s="6" t="s">
        <v>2540</v>
      </c>
      <c r="J210" s="6" t="s">
        <v>2541</v>
      </c>
      <c r="K210" s="7" t="n">
        <v>45504</v>
      </c>
      <c r="L210" s="6" t="s">
        <v>68</v>
      </c>
      <c r="M210" s="7"/>
      <c r="N210" s="8" t="n">
        <f aca="false">IF(M210&lt;&gt;"",M210-Summary!$C$3,IF(K210="","",K210-Summary!$C$3))</f>
        <v>-801</v>
      </c>
      <c r="O210" s="6" t="s">
        <v>7</v>
      </c>
      <c r="P210" s="6" t="s">
        <v>2542</v>
      </c>
      <c r="Q210" s="6" t="s">
        <v>110</v>
      </c>
      <c r="R210" s="6" t="s">
        <v>2543</v>
      </c>
      <c r="S210" s="6" t="s">
        <v>2544</v>
      </c>
      <c r="T210" s="6" t="s">
        <v>89</v>
      </c>
      <c r="U210" s="6" t="s">
        <v>89</v>
      </c>
      <c r="V210" s="6" t="s">
        <v>89</v>
      </c>
      <c r="W210" s="6" t="s">
        <v>2545</v>
      </c>
      <c r="X210" s="6" t="s">
        <v>994</v>
      </c>
      <c r="Y210" s="6" t="s">
        <v>2546</v>
      </c>
      <c r="Z210" s="6" t="s">
        <v>128</v>
      </c>
      <c r="AA210" s="6" t="s">
        <v>194</v>
      </c>
    </row>
    <row r="211" customFormat="false" ht="43.25" hidden="false" customHeight="false" outlineLevel="0" collapsed="false">
      <c r="A211" s="6" t="s">
        <v>2547</v>
      </c>
      <c r="B211" s="6" t="s">
        <v>2548</v>
      </c>
      <c r="C211" s="6" t="s">
        <v>2549</v>
      </c>
      <c r="D211" s="6" t="s">
        <v>2550</v>
      </c>
      <c r="E211" s="6" t="s">
        <v>21</v>
      </c>
      <c r="F211" s="6" t="s">
        <v>224</v>
      </c>
      <c r="G211" s="6" t="s">
        <v>122</v>
      </c>
      <c r="H211" s="6" t="s">
        <v>344</v>
      </c>
      <c r="I211" s="6" t="s">
        <v>2551</v>
      </c>
      <c r="J211" s="6" t="s">
        <v>2552</v>
      </c>
      <c r="K211" s="7" t="n">
        <v>43761</v>
      </c>
      <c r="L211" s="6" t="s">
        <v>68</v>
      </c>
      <c r="M211" s="7"/>
      <c r="N211" s="8" t="n">
        <f aca="false">IF(M211&lt;&gt;"",M211-Summary!$C$3,IF(K211="","",K211-Summary!$C$3))</f>
        <v>-2544</v>
      </c>
      <c r="O211" s="6" t="s">
        <v>7</v>
      </c>
      <c r="P211" s="6" t="s">
        <v>186</v>
      </c>
      <c r="Q211" s="6" t="s">
        <v>2553</v>
      </c>
      <c r="R211" s="6" t="s">
        <v>2554</v>
      </c>
      <c r="S211" s="6" t="s">
        <v>2555</v>
      </c>
      <c r="T211" s="6" t="s">
        <v>89</v>
      </c>
      <c r="U211" s="6" t="s">
        <v>89</v>
      </c>
      <c r="V211" s="6" t="s">
        <v>2556</v>
      </c>
      <c r="W211" s="6" t="s">
        <v>2557</v>
      </c>
      <c r="X211" s="6" t="s">
        <v>2558</v>
      </c>
      <c r="Y211" s="6" t="s">
        <v>2559</v>
      </c>
      <c r="Z211" s="6" t="s">
        <v>128</v>
      </c>
      <c r="AA211" s="6" t="s">
        <v>194</v>
      </c>
    </row>
    <row r="212" customFormat="false" ht="53.7" hidden="false" customHeight="false" outlineLevel="0" collapsed="false">
      <c r="A212" s="6" t="s">
        <v>2560</v>
      </c>
      <c r="B212" s="6" t="s">
        <v>2561</v>
      </c>
      <c r="C212" s="6" t="s">
        <v>2562</v>
      </c>
      <c r="D212" s="6" t="s">
        <v>2563</v>
      </c>
      <c r="E212" s="6" t="s">
        <v>21</v>
      </c>
      <c r="F212" s="6" t="s">
        <v>224</v>
      </c>
      <c r="G212" s="6" t="s">
        <v>122</v>
      </c>
      <c r="H212" s="6" t="s">
        <v>65</v>
      </c>
      <c r="I212" s="6" t="s">
        <v>2564</v>
      </c>
      <c r="J212" s="6" t="s">
        <v>2565</v>
      </c>
      <c r="K212" s="7" t="n">
        <v>45016</v>
      </c>
      <c r="L212" s="6" t="s">
        <v>68</v>
      </c>
      <c r="M212" s="7"/>
      <c r="N212" s="8" t="n">
        <f aca="false">IF(M212&lt;&gt;"",M212-Summary!$C$3,IF(K212="","",K212-Summary!$C$3))</f>
        <v>-1289</v>
      </c>
      <c r="O212" s="6" t="s">
        <v>7</v>
      </c>
      <c r="P212" s="6" t="s">
        <v>2566</v>
      </c>
      <c r="Q212" s="6" t="s">
        <v>110</v>
      </c>
      <c r="R212" s="6" t="s">
        <v>2567</v>
      </c>
      <c r="S212" s="6" t="s">
        <v>2568</v>
      </c>
      <c r="T212" s="6" t="s">
        <v>89</v>
      </c>
      <c r="U212" s="6" t="s">
        <v>89</v>
      </c>
      <c r="V212" s="6" t="s">
        <v>753</v>
      </c>
      <c r="W212" s="6" t="s">
        <v>754</v>
      </c>
      <c r="X212" s="6" t="s">
        <v>2569</v>
      </c>
      <c r="Y212" s="6" t="s">
        <v>2570</v>
      </c>
      <c r="Z212" s="6" t="s">
        <v>79</v>
      </c>
      <c r="AA212" s="6" t="s">
        <v>194</v>
      </c>
    </row>
    <row r="213" customFormat="false" ht="53.7" hidden="false" customHeight="false" outlineLevel="0" collapsed="false">
      <c r="A213" s="6" t="s">
        <v>2571</v>
      </c>
      <c r="B213" s="6" t="s">
        <v>2572</v>
      </c>
      <c r="C213" s="6" t="s">
        <v>2573</v>
      </c>
      <c r="D213" s="6" t="s">
        <v>2574</v>
      </c>
      <c r="E213" s="6" t="s">
        <v>21</v>
      </c>
      <c r="F213" s="6" t="s">
        <v>2575</v>
      </c>
      <c r="G213" s="6" t="s">
        <v>122</v>
      </c>
      <c r="H213" s="6" t="s">
        <v>568</v>
      </c>
      <c r="I213" s="6" t="s">
        <v>2576</v>
      </c>
      <c r="J213" s="6" t="s">
        <v>2577</v>
      </c>
      <c r="K213" s="7" t="n">
        <v>45553</v>
      </c>
      <c r="L213" s="6" t="s">
        <v>68</v>
      </c>
      <c r="M213" s="7"/>
      <c r="N213" s="8" t="n">
        <f aca="false">IF(M213&lt;&gt;"",M213-Summary!$C$3,IF(K213="","",K213-Summary!$C$3))</f>
        <v>-752</v>
      </c>
      <c r="O213" s="6" t="s">
        <v>7</v>
      </c>
      <c r="P213" s="6" t="s">
        <v>69</v>
      </c>
      <c r="Q213" s="6" t="s">
        <v>2162</v>
      </c>
      <c r="R213" s="6" t="s">
        <v>267</v>
      </c>
      <c r="S213" s="6" t="s">
        <v>2578</v>
      </c>
      <c r="T213" s="6" t="s">
        <v>2579</v>
      </c>
      <c r="U213" s="6" t="s">
        <v>89</v>
      </c>
      <c r="V213" s="6" t="s">
        <v>2580</v>
      </c>
      <c r="W213" s="6" t="s">
        <v>2581</v>
      </c>
      <c r="X213" s="6" t="s">
        <v>2582</v>
      </c>
      <c r="Y213" s="6" t="s">
        <v>2583</v>
      </c>
      <c r="Z213" s="6" t="s">
        <v>79</v>
      </c>
      <c r="AA213" s="6" t="s">
        <v>80</v>
      </c>
    </row>
    <row r="214" customFormat="false" ht="22.35" hidden="false" customHeight="false" outlineLevel="0" collapsed="false">
      <c r="A214" s="6" t="s">
        <v>2584</v>
      </c>
      <c r="B214" s="6" t="s">
        <v>2585</v>
      </c>
      <c r="C214" s="6" t="s">
        <v>7</v>
      </c>
      <c r="D214" s="6" t="s">
        <v>2586</v>
      </c>
      <c r="E214" s="6" t="s">
        <v>17</v>
      </c>
      <c r="F214" s="6" t="s">
        <v>162</v>
      </c>
      <c r="G214" s="6" t="s">
        <v>2587</v>
      </c>
      <c r="H214" s="6" t="s">
        <v>65</v>
      </c>
      <c r="I214" s="6" t="s">
        <v>2588</v>
      </c>
      <c r="J214" s="6" t="s">
        <v>2589</v>
      </c>
      <c r="K214" s="7" t="n">
        <v>45257</v>
      </c>
      <c r="L214" s="6" t="s">
        <v>68</v>
      </c>
      <c r="M214" s="7"/>
      <c r="N214" s="8" t="n">
        <f aca="false">IF(M214&lt;&gt;"",M214-Summary!$C$3,IF(K214="","",K214-Summary!$C$3))</f>
        <v>-1048</v>
      </c>
      <c r="O214" s="6" t="s">
        <v>7</v>
      </c>
      <c r="P214" s="6" t="s">
        <v>2590</v>
      </c>
      <c r="Q214" s="6" t="s">
        <v>216</v>
      </c>
      <c r="R214" s="6" t="s">
        <v>2591</v>
      </c>
      <c r="S214" s="6" t="s">
        <v>2592</v>
      </c>
      <c r="T214" s="6" t="s">
        <v>89</v>
      </c>
      <c r="U214" s="6" t="s">
        <v>89</v>
      </c>
      <c r="V214" s="6" t="s">
        <v>2593</v>
      </c>
      <c r="W214" s="6" t="s">
        <v>2594</v>
      </c>
      <c r="X214" s="6" t="s">
        <v>2595</v>
      </c>
      <c r="Y214" s="6" t="s">
        <v>2596</v>
      </c>
      <c r="Z214" s="6" t="s">
        <v>79</v>
      </c>
      <c r="AA214" s="6" t="s">
        <v>80</v>
      </c>
    </row>
    <row r="215" customFormat="false" ht="43.25" hidden="false" customHeight="false" outlineLevel="0" collapsed="false">
      <c r="A215" s="6" t="s">
        <v>1260</v>
      </c>
      <c r="B215" s="6" t="s">
        <v>2597</v>
      </c>
      <c r="C215" s="6" t="s">
        <v>2598</v>
      </c>
      <c r="D215" s="6" t="s">
        <v>2599</v>
      </c>
      <c r="E215" s="6" t="s">
        <v>21</v>
      </c>
      <c r="F215" s="6" t="s">
        <v>147</v>
      </c>
      <c r="G215" s="6" t="s">
        <v>122</v>
      </c>
      <c r="H215" s="6" t="s">
        <v>568</v>
      </c>
      <c r="I215" s="6" t="s">
        <v>2564</v>
      </c>
      <c r="J215" s="6" t="s">
        <v>2600</v>
      </c>
      <c r="K215" s="7" t="n">
        <v>45565</v>
      </c>
      <c r="L215" s="6" t="s">
        <v>68</v>
      </c>
      <c r="M215" s="7"/>
      <c r="N215" s="8" t="n">
        <f aca="false">IF(M215&lt;&gt;"",M215-Summary!$C$3,IF(K215="","",K215-Summary!$C$3))</f>
        <v>-740</v>
      </c>
      <c r="O215" s="6" t="s">
        <v>7</v>
      </c>
      <c r="P215" s="6" t="s">
        <v>186</v>
      </c>
      <c r="Q215" s="6" t="s">
        <v>2066</v>
      </c>
      <c r="R215" s="6" t="s">
        <v>962</v>
      </c>
      <c r="S215" s="6" t="s">
        <v>2601</v>
      </c>
      <c r="T215" s="6" t="s">
        <v>89</v>
      </c>
      <c r="U215" s="6" t="s">
        <v>89</v>
      </c>
      <c r="V215" s="6" t="s">
        <v>89</v>
      </c>
      <c r="W215" s="6" t="s">
        <v>2602</v>
      </c>
      <c r="X215" s="6" t="s">
        <v>2603</v>
      </c>
      <c r="Y215" s="6" t="s">
        <v>2604</v>
      </c>
      <c r="Z215" s="6" t="s">
        <v>79</v>
      </c>
      <c r="AA215" s="6" t="s">
        <v>80</v>
      </c>
    </row>
    <row r="216" customFormat="false" ht="53.7" hidden="false" customHeight="false" outlineLevel="0" collapsed="false">
      <c r="A216" s="6" t="s">
        <v>2605</v>
      </c>
      <c r="B216" s="6" t="s">
        <v>2605</v>
      </c>
      <c r="C216" s="6" t="s">
        <v>2605</v>
      </c>
      <c r="D216" s="6" t="s">
        <v>2606</v>
      </c>
      <c r="E216" s="6" t="s">
        <v>21</v>
      </c>
      <c r="F216" s="6" t="s">
        <v>147</v>
      </c>
      <c r="G216" s="6" t="s">
        <v>122</v>
      </c>
      <c r="H216" s="6" t="s">
        <v>568</v>
      </c>
      <c r="I216" s="6" t="s">
        <v>2607</v>
      </c>
      <c r="J216" s="6" t="s">
        <v>2608</v>
      </c>
      <c r="K216" s="7" t="n">
        <v>45274</v>
      </c>
      <c r="L216" s="6" t="s">
        <v>68</v>
      </c>
      <c r="M216" s="7"/>
      <c r="N216" s="8" t="n">
        <f aca="false">IF(M216&lt;&gt;"",M216-Summary!$C$3,IF(K216="","",K216-Summary!$C$3))</f>
        <v>-1031</v>
      </c>
      <c r="O216" s="6" t="s">
        <v>7</v>
      </c>
      <c r="P216" s="6" t="s">
        <v>2609</v>
      </c>
      <c r="Q216" s="6" t="s">
        <v>584</v>
      </c>
      <c r="R216" s="6" t="s">
        <v>2610</v>
      </c>
      <c r="S216" s="6" t="s">
        <v>2611</v>
      </c>
      <c r="T216" s="6" t="s">
        <v>2222</v>
      </c>
      <c r="U216" s="6" t="s">
        <v>89</v>
      </c>
      <c r="V216" s="6" t="s">
        <v>2612</v>
      </c>
      <c r="W216" s="6" t="s">
        <v>2334</v>
      </c>
      <c r="X216" s="6" t="s">
        <v>2335</v>
      </c>
      <c r="Y216" s="6" t="s">
        <v>2613</v>
      </c>
      <c r="Z216" s="6" t="s">
        <v>128</v>
      </c>
      <c r="AA216" s="6" t="s">
        <v>194</v>
      </c>
    </row>
    <row r="217" customFormat="false" ht="74.6" hidden="false" customHeight="false" outlineLevel="0" collapsed="false">
      <c r="A217" s="6" t="s">
        <v>2614</v>
      </c>
      <c r="B217" s="6" t="s">
        <v>2615</v>
      </c>
      <c r="C217" s="6" t="s">
        <v>2616</v>
      </c>
      <c r="D217" s="6" t="s">
        <v>2617</v>
      </c>
      <c r="E217" s="6" t="s">
        <v>21</v>
      </c>
      <c r="F217" s="6" t="s">
        <v>1001</v>
      </c>
      <c r="G217" s="6" t="s">
        <v>122</v>
      </c>
      <c r="H217" s="6" t="s">
        <v>65</v>
      </c>
      <c r="I217" s="6" t="s">
        <v>2540</v>
      </c>
      <c r="J217" s="6" t="s">
        <v>2618</v>
      </c>
      <c r="K217" s="7" t="n">
        <v>46234</v>
      </c>
      <c r="L217" s="6" t="s">
        <v>68</v>
      </c>
      <c r="M217" s="7"/>
      <c r="N217" s="8" t="n">
        <f aca="false">IF(M217&lt;&gt;"",M217-Summary!$C$3,IF(K217="","",K217-Summary!$C$3))</f>
        <v>-71</v>
      </c>
      <c r="O217" s="6" t="s">
        <v>7</v>
      </c>
      <c r="P217" s="6" t="s">
        <v>69</v>
      </c>
      <c r="Q217" s="6" t="s">
        <v>110</v>
      </c>
      <c r="R217" s="6" t="s">
        <v>2619</v>
      </c>
      <c r="S217" s="6" t="s">
        <v>2620</v>
      </c>
      <c r="T217" s="6" t="s">
        <v>2621</v>
      </c>
      <c r="U217" s="6" t="s">
        <v>89</v>
      </c>
      <c r="V217" s="6" t="s">
        <v>89</v>
      </c>
      <c r="W217" s="6" t="s">
        <v>2622</v>
      </c>
      <c r="X217" s="6" t="s">
        <v>2623</v>
      </c>
      <c r="Y217" s="6" t="s">
        <v>2624</v>
      </c>
      <c r="Z217" s="6" t="s">
        <v>79</v>
      </c>
      <c r="AA217" s="6" t="s">
        <v>80</v>
      </c>
    </row>
    <row r="218" customFormat="false" ht="53.7" hidden="false" customHeight="false" outlineLevel="0" collapsed="false">
      <c r="A218" s="6" t="s">
        <v>2625</v>
      </c>
      <c r="B218" s="6" t="s">
        <v>1322</v>
      </c>
      <c r="C218" s="6" t="s">
        <v>2626</v>
      </c>
      <c r="D218" s="6" t="s">
        <v>2627</v>
      </c>
      <c r="E218" s="6" t="s">
        <v>21</v>
      </c>
      <c r="F218" s="6" t="s">
        <v>1325</v>
      </c>
      <c r="G218" s="6" t="s">
        <v>2628</v>
      </c>
      <c r="H218" s="6" t="s">
        <v>226</v>
      </c>
      <c r="I218" s="6" t="s">
        <v>2629</v>
      </c>
      <c r="J218" s="6" t="s">
        <v>2274</v>
      </c>
      <c r="K218" s="7" t="n">
        <v>46203</v>
      </c>
      <c r="L218" s="6" t="s">
        <v>68</v>
      </c>
      <c r="M218" s="7"/>
      <c r="N218" s="8" t="n">
        <f aca="false">IF(M218&lt;&gt;"",M218-Summary!$C$3,IF(K218="","",K218-Summary!$C$3))</f>
        <v>-102</v>
      </c>
      <c r="O218" s="6" t="s">
        <v>7</v>
      </c>
      <c r="P218" s="6" t="s">
        <v>69</v>
      </c>
      <c r="Q218" s="6" t="s">
        <v>1328</v>
      </c>
      <c r="R218" s="6" t="s">
        <v>2630</v>
      </c>
      <c r="S218" s="6" t="s">
        <v>2631</v>
      </c>
      <c r="T218" s="6" t="s">
        <v>2632</v>
      </c>
      <c r="U218" s="6" t="s">
        <v>89</v>
      </c>
      <c r="V218" s="6" t="s">
        <v>2633</v>
      </c>
      <c r="W218" s="6" t="s">
        <v>2634</v>
      </c>
      <c r="X218" s="6" t="s">
        <v>2635</v>
      </c>
      <c r="Y218" s="6" t="s">
        <v>2636</v>
      </c>
      <c r="Z218" s="6" t="s">
        <v>128</v>
      </c>
      <c r="AA218" s="6" t="s">
        <v>194</v>
      </c>
    </row>
    <row r="219" customFormat="false" ht="43.25" hidden="false" customHeight="false" outlineLevel="0" collapsed="false">
      <c r="A219" s="6" t="s">
        <v>1336</v>
      </c>
      <c r="B219" s="6" t="s">
        <v>1337</v>
      </c>
      <c r="C219" s="6" t="s">
        <v>2637</v>
      </c>
      <c r="D219" s="6" t="s">
        <v>2638</v>
      </c>
      <c r="E219" s="6" t="s">
        <v>21</v>
      </c>
      <c r="F219" s="6" t="s">
        <v>147</v>
      </c>
      <c r="G219" s="6" t="s">
        <v>2639</v>
      </c>
      <c r="H219" s="6" t="s">
        <v>344</v>
      </c>
      <c r="I219" s="6" t="s">
        <v>2640</v>
      </c>
      <c r="J219" s="6" t="s">
        <v>2641</v>
      </c>
      <c r="K219" s="7" t="n">
        <v>45777</v>
      </c>
      <c r="L219" s="6" t="s">
        <v>68</v>
      </c>
      <c r="M219" s="7"/>
      <c r="N219" s="8" t="n">
        <f aca="false">IF(M219&lt;&gt;"",M219-Summary!$C$3,IF(K219="","",K219-Summary!$C$3))</f>
        <v>-528</v>
      </c>
      <c r="O219" s="6" t="s">
        <v>7</v>
      </c>
      <c r="P219" s="6" t="s">
        <v>2642</v>
      </c>
      <c r="Q219" s="6" t="s">
        <v>2643</v>
      </c>
      <c r="R219" s="6" t="s">
        <v>1345</v>
      </c>
      <c r="S219" s="6" t="s">
        <v>2644</v>
      </c>
      <c r="T219" s="6" t="s">
        <v>2645</v>
      </c>
      <c r="U219" s="6" t="s">
        <v>89</v>
      </c>
      <c r="V219" s="6" t="s">
        <v>2646</v>
      </c>
      <c r="W219" s="6" t="s">
        <v>2647</v>
      </c>
      <c r="X219" s="6" t="s">
        <v>2648</v>
      </c>
      <c r="Y219" s="6" t="s">
        <v>2649</v>
      </c>
      <c r="Z219" s="6" t="s">
        <v>79</v>
      </c>
      <c r="AA219" s="6" t="s">
        <v>194</v>
      </c>
    </row>
    <row r="220" customFormat="false" ht="53.7" hidden="false" customHeight="false" outlineLevel="0" collapsed="false">
      <c r="A220" s="6" t="s">
        <v>1336</v>
      </c>
      <c r="B220" s="6" t="s">
        <v>2650</v>
      </c>
      <c r="C220" s="6" t="s">
        <v>2637</v>
      </c>
      <c r="D220" s="6" t="s">
        <v>2651</v>
      </c>
      <c r="E220" s="6" t="s">
        <v>18</v>
      </c>
      <c r="F220" s="6" t="s">
        <v>147</v>
      </c>
      <c r="G220" s="6" t="s">
        <v>2652</v>
      </c>
      <c r="H220" s="6" t="s">
        <v>2653</v>
      </c>
      <c r="I220" s="6" t="s">
        <v>2654</v>
      </c>
      <c r="J220" s="6" t="s">
        <v>2196</v>
      </c>
      <c r="K220" s="7" t="n">
        <v>46142</v>
      </c>
      <c r="L220" s="6" t="s">
        <v>68</v>
      </c>
      <c r="M220" s="7"/>
      <c r="N220" s="8" t="n">
        <f aca="false">IF(M220&lt;&gt;"",M220-Summary!$C$3,IF(K220="","",K220-Summary!$C$3))</f>
        <v>-163</v>
      </c>
      <c r="O220" s="6" t="s">
        <v>7</v>
      </c>
      <c r="P220" s="6" t="s">
        <v>2655</v>
      </c>
      <c r="Q220" s="6" t="s">
        <v>2656</v>
      </c>
      <c r="R220" s="6" t="s">
        <v>2657</v>
      </c>
      <c r="S220" s="6" t="s">
        <v>2658</v>
      </c>
      <c r="T220" s="6" t="s">
        <v>2659</v>
      </c>
      <c r="U220" s="6" t="s">
        <v>89</v>
      </c>
      <c r="V220" s="6" t="s">
        <v>89</v>
      </c>
      <c r="W220" s="6" t="s">
        <v>89</v>
      </c>
      <c r="X220" s="6" t="s">
        <v>2660</v>
      </c>
      <c r="Y220" s="6" t="s">
        <v>2661</v>
      </c>
      <c r="Z220" s="6" t="s">
        <v>79</v>
      </c>
      <c r="AA220" s="6" t="s">
        <v>80</v>
      </c>
    </row>
    <row r="221" customFormat="false" ht="43.25" hidden="false" customHeight="false" outlineLevel="0" collapsed="false">
      <c r="A221" s="6" t="s">
        <v>1336</v>
      </c>
      <c r="B221" s="6" t="s">
        <v>1337</v>
      </c>
      <c r="C221" s="6" t="s">
        <v>1336</v>
      </c>
      <c r="D221" s="6" t="s">
        <v>2662</v>
      </c>
      <c r="E221" s="6" t="s">
        <v>21</v>
      </c>
      <c r="F221" s="6" t="s">
        <v>147</v>
      </c>
      <c r="G221" s="6" t="s">
        <v>2639</v>
      </c>
      <c r="H221" s="6" t="s">
        <v>1340</v>
      </c>
      <c r="I221" s="6" t="s">
        <v>2663</v>
      </c>
      <c r="J221" s="6" t="s">
        <v>2196</v>
      </c>
      <c r="K221" s="7" t="n">
        <v>46142</v>
      </c>
      <c r="L221" s="6" t="s">
        <v>68</v>
      </c>
      <c r="M221" s="7"/>
      <c r="N221" s="8" t="n">
        <f aca="false">IF(M221&lt;&gt;"",M221-Summary!$C$3,IF(K221="","",K221-Summary!$C$3))</f>
        <v>-163</v>
      </c>
      <c r="O221" s="6" t="s">
        <v>7</v>
      </c>
      <c r="P221" s="6" t="s">
        <v>2664</v>
      </c>
      <c r="Q221" s="6" t="s">
        <v>2665</v>
      </c>
      <c r="R221" s="6" t="s">
        <v>2666</v>
      </c>
      <c r="S221" s="6" t="s">
        <v>2667</v>
      </c>
      <c r="T221" s="6" t="s">
        <v>2668</v>
      </c>
      <c r="U221" s="6" t="s">
        <v>89</v>
      </c>
      <c r="V221" s="6" t="s">
        <v>2669</v>
      </c>
      <c r="W221" s="6" t="s">
        <v>2670</v>
      </c>
      <c r="X221" s="6" t="s">
        <v>2671</v>
      </c>
      <c r="Y221" s="6" t="s">
        <v>2672</v>
      </c>
      <c r="Z221" s="6" t="s">
        <v>128</v>
      </c>
      <c r="AA221" s="6" t="s">
        <v>194</v>
      </c>
    </row>
    <row r="222" customFormat="false" ht="53.7" hidden="false" customHeight="false" outlineLevel="0" collapsed="false">
      <c r="A222" s="6" t="s">
        <v>2673</v>
      </c>
      <c r="B222" s="6" t="s">
        <v>2674</v>
      </c>
      <c r="C222" s="6" t="s">
        <v>2675</v>
      </c>
      <c r="D222" s="6" t="s">
        <v>2676</v>
      </c>
      <c r="E222" s="6" t="s">
        <v>21</v>
      </c>
      <c r="F222" s="6" t="s">
        <v>63</v>
      </c>
      <c r="G222" s="6" t="s">
        <v>122</v>
      </c>
      <c r="H222" s="6" t="s">
        <v>568</v>
      </c>
      <c r="I222" s="6" t="s">
        <v>2677</v>
      </c>
      <c r="J222" s="6" t="s">
        <v>2678</v>
      </c>
      <c r="K222" s="7" t="n">
        <v>44819</v>
      </c>
      <c r="L222" s="6" t="s">
        <v>68</v>
      </c>
      <c r="M222" s="7"/>
      <c r="N222" s="8" t="n">
        <f aca="false">IF(M222&lt;&gt;"",M222-Summary!$C$3,IF(K222="","",K222-Summary!$C$3))</f>
        <v>-1486</v>
      </c>
      <c r="O222" s="6" t="s">
        <v>7</v>
      </c>
      <c r="P222" s="6" t="s">
        <v>69</v>
      </c>
      <c r="Q222" s="6" t="s">
        <v>584</v>
      </c>
      <c r="R222" s="6" t="s">
        <v>2679</v>
      </c>
      <c r="S222" s="6" t="s">
        <v>2680</v>
      </c>
      <c r="T222" s="6" t="s">
        <v>2069</v>
      </c>
      <c r="U222" s="6" t="s">
        <v>89</v>
      </c>
      <c r="V222" s="6" t="s">
        <v>2290</v>
      </c>
      <c r="W222" s="6" t="s">
        <v>2581</v>
      </c>
      <c r="X222" s="6" t="s">
        <v>2681</v>
      </c>
      <c r="Y222" s="6" t="s">
        <v>2682</v>
      </c>
      <c r="Z222" s="6" t="s">
        <v>79</v>
      </c>
      <c r="AA222" s="6" t="s">
        <v>80</v>
      </c>
    </row>
    <row r="223" customFormat="false" ht="32.8" hidden="false" customHeight="false" outlineLevel="0" collapsed="false">
      <c r="A223" s="6" t="s">
        <v>1391</v>
      </c>
      <c r="B223" s="6" t="s">
        <v>2683</v>
      </c>
      <c r="C223" s="6" t="s">
        <v>2684</v>
      </c>
      <c r="D223" s="6" t="s">
        <v>2685</v>
      </c>
      <c r="E223" s="6" t="s">
        <v>25</v>
      </c>
      <c r="F223" s="6" t="s">
        <v>224</v>
      </c>
      <c r="G223" s="6" t="s">
        <v>682</v>
      </c>
      <c r="H223" s="6" t="s">
        <v>226</v>
      </c>
      <c r="I223" s="6" t="s">
        <v>2686</v>
      </c>
      <c r="J223" s="6" t="s">
        <v>2541</v>
      </c>
      <c r="K223" s="7" t="n">
        <v>45504</v>
      </c>
      <c r="L223" s="6" t="s">
        <v>68</v>
      </c>
      <c r="M223" s="7"/>
      <c r="N223" s="8" t="n">
        <f aca="false">IF(M223&lt;&gt;"",M223-Summary!$C$3,IF(K223="","",K223-Summary!$C$3))</f>
        <v>-801</v>
      </c>
      <c r="O223" s="6" t="s">
        <v>7</v>
      </c>
      <c r="P223" s="6" t="s">
        <v>2340</v>
      </c>
      <c r="Q223" s="6" t="s">
        <v>216</v>
      </c>
      <c r="R223" s="6" t="s">
        <v>2687</v>
      </c>
      <c r="S223" s="6" t="s">
        <v>2688</v>
      </c>
      <c r="T223" s="6" t="s">
        <v>89</v>
      </c>
      <c r="U223" s="6" t="s">
        <v>2689</v>
      </c>
      <c r="V223" s="6" t="s">
        <v>2690</v>
      </c>
      <c r="W223" s="6" t="s">
        <v>2691</v>
      </c>
      <c r="X223" s="6" t="s">
        <v>89</v>
      </c>
      <c r="Y223" s="6" t="s">
        <v>2692</v>
      </c>
      <c r="Z223" s="6" t="s">
        <v>79</v>
      </c>
      <c r="AA223" s="6" t="s">
        <v>80</v>
      </c>
    </row>
    <row r="224" customFormat="false" ht="32.8" hidden="false" customHeight="false" outlineLevel="0" collapsed="false">
      <c r="A224" s="6" t="s">
        <v>2693</v>
      </c>
      <c r="B224" s="6" t="s">
        <v>2693</v>
      </c>
      <c r="C224" s="6" t="s">
        <v>2694</v>
      </c>
      <c r="D224" s="6" t="s">
        <v>2695</v>
      </c>
      <c r="E224" s="6" t="s">
        <v>21</v>
      </c>
      <c r="F224" s="6" t="s">
        <v>2575</v>
      </c>
      <c r="G224" s="6" t="s">
        <v>122</v>
      </c>
      <c r="H224" s="6" t="s">
        <v>568</v>
      </c>
      <c r="I224" s="6" t="s">
        <v>2422</v>
      </c>
      <c r="J224" s="6" t="s">
        <v>2696</v>
      </c>
      <c r="K224" s="7" t="n">
        <v>44926</v>
      </c>
      <c r="L224" s="6" t="s">
        <v>68</v>
      </c>
      <c r="M224" s="7"/>
      <c r="N224" s="8" t="n">
        <f aca="false">IF(M224&lt;&gt;"",M224-Summary!$C$3,IF(K224="","",K224-Summary!$C$3))</f>
        <v>-1379</v>
      </c>
      <c r="O224" s="6" t="s">
        <v>7</v>
      </c>
      <c r="P224" s="6" t="s">
        <v>69</v>
      </c>
      <c r="Q224" s="6" t="s">
        <v>2066</v>
      </c>
      <c r="R224" s="6" t="s">
        <v>326</v>
      </c>
      <c r="S224" s="6" t="s">
        <v>2697</v>
      </c>
      <c r="T224" s="6" t="s">
        <v>2069</v>
      </c>
      <c r="U224" s="6" t="s">
        <v>89</v>
      </c>
      <c r="V224" s="6" t="s">
        <v>2698</v>
      </c>
      <c r="W224" s="6" t="s">
        <v>2699</v>
      </c>
      <c r="X224" s="6" t="s">
        <v>2700</v>
      </c>
      <c r="Y224" s="6" t="s">
        <v>2701</v>
      </c>
      <c r="Z224" s="6" t="s">
        <v>79</v>
      </c>
      <c r="AA224" s="6" t="s">
        <v>194</v>
      </c>
    </row>
    <row r="225" customFormat="false" ht="53.7" hidden="false" customHeight="false" outlineLevel="0" collapsed="false">
      <c r="A225" s="6" t="s">
        <v>1458</v>
      </c>
      <c r="B225" s="6" t="s">
        <v>2702</v>
      </c>
      <c r="C225" s="6" t="s">
        <v>2703</v>
      </c>
      <c r="D225" s="6" t="s">
        <v>2704</v>
      </c>
      <c r="E225" s="6" t="s">
        <v>21</v>
      </c>
      <c r="F225" s="6" t="s">
        <v>224</v>
      </c>
      <c r="G225" s="6" t="s">
        <v>2705</v>
      </c>
      <c r="H225" s="6" t="s">
        <v>1082</v>
      </c>
      <c r="I225" s="6" t="s">
        <v>2706</v>
      </c>
      <c r="J225" s="6" t="s">
        <v>2707</v>
      </c>
      <c r="K225" s="7" t="n">
        <v>43762</v>
      </c>
      <c r="L225" s="6" t="s">
        <v>68</v>
      </c>
      <c r="M225" s="7"/>
      <c r="N225" s="8" t="n">
        <f aca="false">IF(M225&lt;&gt;"",M225-Summary!$C$3,IF(K225="","",K225-Summary!$C$3))</f>
        <v>-2543</v>
      </c>
      <c r="O225" s="6" t="s">
        <v>7</v>
      </c>
      <c r="P225" s="6" t="s">
        <v>69</v>
      </c>
      <c r="Q225" s="6" t="s">
        <v>2708</v>
      </c>
      <c r="R225" s="6" t="s">
        <v>2151</v>
      </c>
      <c r="S225" s="6" t="s">
        <v>2709</v>
      </c>
      <c r="T225" s="6" t="s">
        <v>2710</v>
      </c>
      <c r="U225" s="6" t="s">
        <v>89</v>
      </c>
      <c r="V225" s="6" t="s">
        <v>110</v>
      </c>
      <c r="W225" s="6" t="s">
        <v>2711</v>
      </c>
      <c r="X225" s="6" t="s">
        <v>2712</v>
      </c>
      <c r="Y225" s="6" t="s">
        <v>2713</v>
      </c>
      <c r="Z225" s="6" t="s">
        <v>128</v>
      </c>
      <c r="AA225" s="6" t="s">
        <v>194</v>
      </c>
    </row>
    <row r="226" customFormat="false" ht="43.25" hidden="false" customHeight="false" outlineLevel="0" collapsed="false">
      <c r="A226" s="6" t="s">
        <v>2714</v>
      </c>
      <c r="B226" s="6" t="s">
        <v>1553</v>
      </c>
      <c r="C226" s="6" t="s">
        <v>2715</v>
      </c>
      <c r="D226" s="6" t="s">
        <v>2716</v>
      </c>
      <c r="E226" s="6" t="s">
        <v>18</v>
      </c>
      <c r="F226" s="6" t="s">
        <v>147</v>
      </c>
      <c r="G226" s="6" t="s">
        <v>1556</v>
      </c>
      <c r="H226" s="6" t="s">
        <v>568</v>
      </c>
      <c r="I226" s="6" t="s">
        <v>2717</v>
      </c>
      <c r="J226" s="6" t="s">
        <v>2718</v>
      </c>
      <c r="K226" s="7" t="n">
        <v>45549</v>
      </c>
      <c r="L226" s="6" t="s">
        <v>68</v>
      </c>
      <c r="M226" s="7"/>
      <c r="N226" s="8" t="n">
        <f aca="false">IF(M226&lt;&gt;"",M226-Summary!$C$3,IF(K226="","",K226-Summary!$C$3))</f>
        <v>-756</v>
      </c>
      <c r="O226" s="6" t="s">
        <v>7</v>
      </c>
      <c r="P226" s="6" t="s">
        <v>89</v>
      </c>
      <c r="Q226" s="6" t="s">
        <v>2719</v>
      </c>
      <c r="R226" s="6" t="s">
        <v>89</v>
      </c>
      <c r="S226" s="6" t="s">
        <v>89</v>
      </c>
      <c r="T226" s="6" t="s">
        <v>89</v>
      </c>
      <c r="U226" s="6" t="s">
        <v>89</v>
      </c>
      <c r="V226" s="6" t="s">
        <v>89</v>
      </c>
      <c r="W226" s="6" t="s">
        <v>89</v>
      </c>
      <c r="X226" s="6" t="s">
        <v>89</v>
      </c>
      <c r="Y226" s="6" t="s">
        <v>2720</v>
      </c>
      <c r="Z226" s="6" t="s">
        <v>79</v>
      </c>
      <c r="AA226" s="6" t="s">
        <v>80</v>
      </c>
    </row>
    <row r="227" customFormat="false" ht="64.15" hidden="false" customHeight="false" outlineLevel="0" collapsed="false">
      <c r="A227" s="6" t="s">
        <v>1503</v>
      </c>
      <c r="B227" s="6" t="s">
        <v>2721</v>
      </c>
      <c r="C227" s="6" t="s">
        <v>2722</v>
      </c>
      <c r="D227" s="6" t="s">
        <v>2723</v>
      </c>
      <c r="E227" s="6" t="s">
        <v>21</v>
      </c>
      <c r="F227" s="6" t="s">
        <v>162</v>
      </c>
      <c r="G227" s="6" t="s">
        <v>2724</v>
      </c>
      <c r="H227" s="6" t="s">
        <v>568</v>
      </c>
      <c r="I227" s="6" t="s">
        <v>2725</v>
      </c>
      <c r="J227" s="6" t="s">
        <v>2726</v>
      </c>
      <c r="K227" s="7" t="n">
        <v>43983</v>
      </c>
      <c r="L227" s="6" t="s">
        <v>68</v>
      </c>
      <c r="M227" s="7"/>
      <c r="N227" s="8" t="n">
        <f aca="false">IF(M227&lt;&gt;"",M227-Summary!$C$3,IF(K227="","",K227-Summary!$C$3))</f>
        <v>-2322</v>
      </c>
      <c r="O227" s="6" t="s">
        <v>7</v>
      </c>
      <c r="P227" s="6" t="s">
        <v>69</v>
      </c>
      <c r="Q227" s="6" t="s">
        <v>2727</v>
      </c>
      <c r="R227" s="6" t="s">
        <v>2728</v>
      </c>
      <c r="S227" s="6" t="s">
        <v>2729</v>
      </c>
      <c r="T227" s="6" t="s">
        <v>89</v>
      </c>
      <c r="U227" s="6" t="s">
        <v>89</v>
      </c>
      <c r="V227" s="6" t="s">
        <v>2730</v>
      </c>
      <c r="W227" s="6" t="s">
        <v>2731</v>
      </c>
      <c r="X227" s="6" t="s">
        <v>2732</v>
      </c>
      <c r="Y227" s="6" t="s">
        <v>2733</v>
      </c>
      <c r="Z227" s="6" t="s">
        <v>128</v>
      </c>
      <c r="AA227" s="6" t="s">
        <v>194</v>
      </c>
    </row>
    <row r="228" customFormat="false" ht="64.15" hidden="false" customHeight="false" outlineLevel="0" collapsed="false">
      <c r="A228" s="6" t="s">
        <v>1503</v>
      </c>
      <c r="B228" s="6" t="s">
        <v>1514</v>
      </c>
      <c r="C228" s="6" t="s">
        <v>2722</v>
      </c>
      <c r="D228" s="6" t="s">
        <v>2734</v>
      </c>
      <c r="E228" s="6" t="s">
        <v>18</v>
      </c>
      <c r="F228" s="6" t="s">
        <v>89</v>
      </c>
      <c r="G228" s="6" t="s">
        <v>2735</v>
      </c>
      <c r="H228" s="6" t="s">
        <v>568</v>
      </c>
      <c r="I228" s="6" t="s">
        <v>2736</v>
      </c>
      <c r="J228" s="6" t="s">
        <v>2737</v>
      </c>
      <c r="K228" s="7" t="n">
        <v>45291</v>
      </c>
      <c r="L228" s="6" t="s">
        <v>68</v>
      </c>
      <c r="M228" s="7"/>
      <c r="N228" s="8" t="n">
        <f aca="false">IF(M228&lt;&gt;"",M228-Summary!$C$3,IF(K228="","",K228-Summary!$C$3))</f>
        <v>-1014</v>
      </c>
      <c r="O228" s="6" t="s">
        <v>7</v>
      </c>
      <c r="P228" s="6" t="s">
        <v>2181</v>
      </c>
      <c r="Q228" s="6" t="s">
        <v>89</v>
      </c>
      <c r="R228" s="6" t="s">
        <v>2738</v>
      </c>
      <c r="S228" s="6" t="s">
        <v>2739</v>
      </c>
      <c r="T228" s="6" t="s">
        <v>89</v>
      </c>
      <c r="U228" s="6" t="s">
        <v>89</v>
      </c>
      <c r="V228" s="6" t="s">
        <v>89</v>
      </c>
      <c r="W228" s="6" t="s">
        <v>89</v>
      </c>
      <c r="X228" s="6" t="s">
        <v>2740</v>
      </c>
      <c r="Y228" s="6" t="s">
        <v>2741</v>
      </c>
      <c r="Z228" s="6" t="s">
        <v>79</v>
      </c>
      <c r="AA228" s="6" t="s">
        <v>80</v>
      </c>
    </row>
    <row r="229" customFormat="false" ht="43.25" hidden="false" customHeight="false" outlineLevel="0" collapsed="false">
      <c r="A229" s="6" t="s">
        <v>2742</v>
      </c>
      <c r="B229" s="6" t="s">
        <v>1525</v>
      </c>
      <c r="C229" s="6" t="s">
        <v>2743</v>
      </c>
      <c r="D229" s="6" t="s">
        <v>2744</v>
      </c>
      <c r="E229" s="6" t="s">
        <v>19</v>
      </c>
      <c r="F229" s="6" t="s">
        <v>224</v>
      </c>
      <c r="G229" s="6" t="s">
        <v>2745</v>
      </c>
      <c r="H229" s="6" t="s">
        <v>65</v>
      </c>
      <c r="I229" s="6" t="s">
        <v>2339</v>
      </c>
      <c r="J229" s="6" t="s">
        <v>1572</v>
      </c>
      <c r="K229" s="7" t="n">
        <v>45961</v>
      </c>
      <c r="L229" s="6" t="s">
        <v>68</v>
      </c>
      <c r="M229" s="7"/>
      <c r="N229" s="8" t="n">
        <f aca="false">IF(M229&lt;&gt;"",M229-Summary!$C$3,IF(K229="","",K229-Summary!$C$3))</f>
        <v>-344</v>
      </c>
      <c r="O229" s="6" t="s">
        <v>7</v>
      </c>
      <c r="P229" s="6" t="s">
        <v>69</v>
      </c>
      <c r="Q229" s="6" t="s">
        <v>110</v>
      </c>
      <c r="R229" s="6" t="s">
        <v>1098</v>
      </c>
      <c r="S229" s="6" t="s">
        <v>2746</v>
      </c>
      <c r="T229" s="6" t="s">
        <v>2747</v>
      </c>
      <c r="U229" s="6" t="s">
        <v>2748</v>
      </c>
      <c r="V229" s="6" t="s">
        <v>2749</v>
      </c>
      <c r="W229" s="6" t="s">
        <v>2750</v>
      </c>
      <c r="X229" s="6" t="s">
        <v>2751</v>
      </c>
      <c r="Y229" s="6" t="s">
        <v>2752</v>
      </c>
      <c r="Z229" s="6" t="s">
        <v>79</v>
      </c>
      <c r="AA229" s="6" t="s">
        <v>194</v>
      </c>
    </row>
    <row r="230" customFormat="false" ht="53.7" hidden="false" customHeight="false" outlineLevel="0" collapsed="false">
      <c r="A230" s="6" t="s">
        <v>2753</v>
      </c>
      <c r="B230" s="6" t="s">
        <v>1525</v>
      </c>
      <c r="C230" s="6" t="s">
        <v>2743</v>
      </c>
      <c r="D230" s="6" t="s">
        <v>2754</v>
      </c>
      <c r="E230" s="6" t="s">
        <v>17</v>
      </c>
      <c r="F230" s="6" t="s">
        <v>147</v>
      </c>
      <c r="G230" s="6" t="s">
        <v>2755</v>
      </c>
      <c r="H230" s="6" t="s">
        <v>65</v>
      </c>
      <c r="I230" s="6" t="s">
        <v>2756</v>
      </c>
      <c r="J230" s="6" t="s">
        <v>2757</v>
      </c>
      <c r="K230" s="7" t="n">
        <v>45930</v>
      </c>
      <c r="L230" s="6" t="s">
        <v>68</v>
      </c>
      <c r="M230" s="7"/>
      <c r="N230" s="8" t="n">
        <f aca="false">IF(M230&lt;&gt;"",M230-Summary!$C$3,IF(K230="","",K230-Summary!$C$3))</f>
        <v>-375</v>
      </c>
      <c r="O230" s="6" t="s">
        <v>7</v>
      </c>
      <c r="P230" s="6" t="s">
        <v>2758</v>
      </c>
      <c r="Q230" s="6" t="s">
        <v>89</v>
      </c>
      <c r="R230" s="6" t="s">
        <v>89</v>
      </c>
      <c r="S230" s="6" t="s">
        <v>2759</v>
      </c>
      <c r="T230" s="6" t="s">
        <v>89</v>
      </c>
      <c r="U230" s="6" t="s">
        <v>89</v>
      </c>
      <c r="V230" s="6" t="s">
        <v>89</v>
      </c>
      <c r="W230" s="6" t="s">
        <v>89</v>
      </c>
      <c r="X230" s="6" t="s">
        <v>89</v>
      </c>
      <c r="Y230" s="6" t="s">
        <v>2760</v>
      </c>
      <c r="Z230" s="6" t="s">
        <v>128</v>
      </c>
      <c r="AA230" s="6" t="s">
        <v>80</v>
      </c>
    </row>
    <row r="231" customFormat="false" ht="53.7" hidden="false" customHeight="false" outlineLevel="0" collapsed="false">
      <c r="A231" s="6" t="s">
        <v>2761</v>
      </c>
      <c r="B231" s="6" t="s">
        <v>2762</v>
      </c>
      <c r="C231" s="6" t="s">
        <v>7</v>
      </c>
      <c r="D231" s="6" t="s">
        <v>2763</v>
      </c>
      <c r="E231" s="6" t="s">
        <v>25</v>
      </c>
      <c r="F231" s="6" t="s">
        <v>224</v>
      </c>
      <c r="G231" s="6" t="s">
        <v>658</v>
      </c>
      <c r="H231" s="6" t="s">
        <v>2764</v>
      </c>
      <c r="I231" s="6" t="s">
        <v>2765</v>
      </c>
      <c r="J231" s="6" t="s">
        <v>2766</v>
      </c>
      <c r="K231" s="7" t="n">
        <v>45920</v>
      </c>
      <c r="L231" s="6" t="s">
        <v>68</v>
      </c>
      <c r="M231" s="7"/>
      <c r="N231" s="8" t="n">
        <f aca="false">IF(M231&lt;&gt;"",M231-Summary!$C$3,IF(K231="","",K231-Summary!$C$3))</f>
        <v>-385</v>
      </c>
      <c r="O231" s="6" t="s">
        <v>7</v>
      </c>
      <c r="P231" s="6" t="s">
        <v>2767</v>
      </c>
      <c r="Q231" s="6" t="s">
        <v>110</v>
      </c>
      <c r="R231" s="6" t="s">
        <v>2768</v>
      </c>
      <c r="S231" s="6" t="s">
        <v>2262</v>
      </c>
      <c r="T231" s="6" t="s">
        <v>89</v>
      </c>
      <c r="U231" s="6" t="s">
        <v>2769</v>
      </c>
      <c r="V231" s="6" t="s">
        <v>2770</v>
      </c>
      <c r="W231" s="6" t="s">
        <v>2771</v>
      </c>
      <c r="X231" s="6" t="s">
        <v>2772</v>
      </c>
      <c r="Y231" s="6" t="s">
        <v>2773</v>
      </c>
      <c r="Z231" s="6" t="s">
        <v>1871</v>
      </c>
      <c r="AA231" s="6" t="s">
        <v>194</v>
      </c>
    </row>
    <row r="232" customFormat="false" ht="43.25" hidden="false" customHeight="false" outlineLevel="0" collapsed="false">
      <c r="A232" s="6" t="s">
        <v>2761</v>
      </c>
      <c r="B232" s="6" t="s">
        <v>2774</v>
      </c>
      <c r="C232" s="6" t="s">
        <v>7</v>
      </c>
      <c r="D232" s="6" t="s">
        <v>2775</v>
      </c>
      <c r="E232" s="6" t="s">
        <v>20</v>
      </c>
      <c r="F232" s="6" t="s">
        <v>147</v>
      </c>
      <c r="G232" s="6" t="s">
        <v>658</v>
      </c>
      <c r="H232" s="6" t="s">
        <v>568</v>
      </c>
      <c r="I232" s="6" t="s">
        <v>2122</v>
      </c>
      <c r="J232" s="6" t="s">
        <v>2123</v>
      </c>
      <c r="K232" s="7" t="n">
        <v>45930</v>
      </c>
      <c r="L232" s="6" t="s">
        <v>68</v>
      </c>
      <c r="M232" s="7"/>
      <c r="N232" s="8" t="n">
        <f aca="false">IF(M232&lt;&gt;"",M232-Summary!$C$3,IF(K232="","",K232-Summary!$C$3))</f>
        <v>-375</v>
      </c>
      <c r="O232" s="6" t="s">
        <v>7</v>
      </c>
      <c r="P232" s="6" t="s">
        <v>2124</v>
      </c>
      <c r="Q232" s="6" t="s">
        <v>216</v>
      </c>
      <c r="R232" s="6" t="s">
        <v>2776</v>
      </c>
      <c r="S232" s="6" t="s">
        <v>662</v>
      </c>
      <c r="T232" s="6" t="s">
        <v>89</v>
      </c>
      <c r="U232" s="6" t="s">
        <v>2777</v>
      </c>
      <c r="V232" s="6" t="s">
        <v>2778</v>
      </c>
      <c r="W232" s="6" t="s">
        <v>89</v>
      </c>
      <c r="X232" s="6" t="s">
        <v>89</v>
      </c>
      <c r="Y232" s="6" t="s">
        <v>2779</v>
      </c>
      <c r="Z232" s="6" t="s">
        <v>128</v>
      </c>
      <c r="AA232" s="6" t="s">
        <v>80</v>
      </c>
    </row>
    <row r="233" customFormat="false" ht="43.25" hidden="false" customHeight="false" outlineLevel="0" collapsed="false">
      <c r="A233" s="6" t="s">
        <v>2761</v>
      </c>
      <c r="B233" s="6" t="s">
        <v>2780</v>
      </c>
      <c r="C233" s="6" t="s">
        <v>7</v>
      </c>
      <c r="D233" s="6" t="s">
        <v>2781</v>
      </c>
      <c r="E233" s="6" t="s">
        <v>25</v>
      </c>
      <c r="F233" s="6" t="s">
        <v>224</v>
      </c>
      <c r="G233" s="6" t="s">
        <v>658</v>
      </c>
      <c r="H233" s="6" t="s">
        <v>2782</v>
      </c>
      <c r="I233" s="6" t="s">
        <v>2122</v>
      </c>
      <c r="J233" s="6" t="s">
        <v>2783</v>
      </c>
      <c r="K233" s="7" t="n">
        <v>45930</v>
      </c>
      <c r="L233" s="6" t="s">
        <v>68</v>
      </c>
      <c r="M233" s="7"/>
      <c r="N233" s="8" t="n">
        <f aca="false">IF(M233&lt;&gt;"",M233-Summary!$C$3,IF(K233="","",K233-Summary!$C$3))</f>
        <v>-375</v>
      </c>
      <c r="O233" s="6" t="s">
        <v>7</v>
      </c>
      <c r="P233" s="6" t="s">
        <v>2124</v>
      </c>
      <c r="Q233" s="6" t="s">
        <v>216</v>
      </c>
      <c r="R233" s="6" t="s">
        <v>2784</v>
      </c>
      <c r="S233" s="6" t="s">
        <v>2785</v>
      </c>
      <c r="T233" s="6" t="s">
        <v>89</v>
      </c>
      <c r="U233" s="6" t="s">
        <v>2786</v>
      </c>
      <c r="V233" s="6" t="s">
        <v>2787</v>
      </c>
      <c r="W233" s="6" t="s">
        <v>89</v>
      </c>
      <c r="X233" s="6" t="s">
        <v>2788</v>
      </c>
      <c r="Y233" s="6" t="s">
        <v>2789</v>
      </c>
      <c r="Z233" s="6" t="s">
        <v>79</v>
      </c>
      <c r="AA233" s="6" t="s">
        <v>194</v>
      </c>
    </row>
    <row r="234" customFormat="false" ht="43.25" hidden="false" customHeight="false" outlineLevel="0" collapsed="false">
      <c r="A234" s="6" t="s">
        <v>2761</v>
      </c>
      <c r="B234" s="6" t="s">
        <v>2790</v>
      </c>
      <c r="C234" s="6" t="s">
        <v>7</v>
      </c>
      <c r="D234" s="6" t="s">
        <v>2791</v>
      </c>
      <c r="E234" s="6" t="s">
        <v>20</v>
      </c>
      <c r="F234" s="6" t="s">
        <v>89</v>
      </c>
      <c r="G234" s="6" t="s">
        <v>658</v>
      </c>
      <c r="H234" s="6" t="s">
        <v>2792</v>
      </c>
      <c r="I234" s="6" t="s">
        <v>2793</v>
      </c>
      <c r="J234" s="6" t="s">
        <v>2794</v>
      </c>
      <c r="K234" s="7" t="n">
        <v>45930</v>
      </c>
      <c r="L234" s="6" t="s">
        <v>68</v>
      </c>
      <c r="M234" s="7"/>
      <c r="N234" s="8" t="n">
        <f aca="false">IF(M234&lt;&gt;"",M234-Summary!$C$3,IF(K234="","",K234-Summary!$C$3))</f>
        <v>-375</v>
      </c>
      <c r="O234" s="6" t="s">
        <v>7</v>
      </c>
      <c r="P234" s="6" t="s">
        <v>2124</v>
      </c>
      <c r="Q234" s="6" t="s">
        <v>216</v>
      </c>
      <c r="R234" s="6" t="s">
        <v>2125</v>
      </c>
      <c r="S234" s="6" t="s">
        <v>2795</v>
      </c>
      <c r="T234" s="6" t="s">
        <v>89</v>
      </c>
      <c r="U234" s="6" t="s">
        <v>2796</v>
      </c>
      <c r="V234" s="6" t="s">
        <v>2797</v>
      </c>
      <c r="W234" s="6" t="s">
        <v>2129</v>
      </c>
      <c r="X234" s="6" t="s">
        <v>2130</v>
      </c>
      <c r="Y234" s="6" t="s">
        <v>2798</v>
      </c>
      <c r="Z234" s="6" t="s">
        <v>128</v>
      </c>
      <c r="AA234" s="6" t="s">
        <v>194</v>
      </c>
    </row>
    <row r="235" customFormat="false" ht="32.8" hidden="false" customHeight="false" outlineLevel="0" collapsed="false">
      <c r="A235" s="6" t="s">
        <v>1599</v>
      </c>
      <c r="B235" s="6" t="s">
        <v>1628</v>
      </c>
      <c r="C235" s="6" t="s">
        <v>2799</v>
      </c>
      <c r="D235" s="6" t="s">
        <v>2800</v>
      </c>
      <c r="E235" s="6" t="s">
        <v>17</v>
      </c>
      <c r="F235" s="6" t="s">
        <v>1655</v>
      </c>
      <c r="G235" s="6" t="s">
        <v>2801</v>
      </c>
      <c r="H235" s="6" t="s">
        <v>65</v>
      </c>
      <c r="I235" s="6" t="s">
        <v>1003</v>
      </c>
      <c r="J235" s="6" t="s">
        <v>89</v>
      </c>
      <c r="K235" s="7"/>
      <c r="L235" s="6" t="s">
        <v>88</v>
      </c>
      <c r="M235" s="7"/>
      <c r="N235" s="8" t="str">
        <f aca="false">IF(M235&lt;&gt;"",M235-Summary!$C$3,IF(K235="","",K235-Summary!$C$3))</f>
        <v/>
      </c>
      <c r="O235" s="6" t="s">
        <v>7</v>
      </c>
      <c r="P235" s="6" t="s">
        <v>2802</v>
      </c>
      <c r="Q235" s="6" t="s">
        <v>89</v>
      </c>
      <c r="R235" s="6" t="s">
        <v>89</v>
      </c>
      <c r="S235" s="6" t="s">
        <v>2803</v>
      </c>
      <c r="T235" s="6" t="s">
        <v>89</v>
      </c>
      <c r="U235" s="6" t="s">
        <v>89</v>
      </c>
      <c r="V235" s="6" t="s">
        <v>89</v>
      </c>
      <c r="W235" s="6" t="s">
        <v>89</v>
      </c>
      <c r="X235" s="6" t="s">
        <v>89</v>
      </c>
      <c r="Y235" s="6" t="s">
        <v>2804</v>
      </c>
      <c r="Z235" s="6" t="s">
        <v>79</v>
      </c>
      <c r="AA235" s="6" t="s">
        <v>80</v>
      </c>
    </row>
    <row r="236" customFormat="false" ht="32.8" hidden="false" customHeight="false" outlineLevel="0" collapsed="false">
      <c r="A236" s="6" t="s">
        <v>1599</v>
      </c>
      <c r="B236" s="6" t="s">
        <v>1628</v>
      </c>
      <c r="C236" s="6" t="s">
        <v>2805</v>
      </c>
      <c r="D236" s="6" t="s">
        <v>2806</v>
      </c>
      <c r="E236" s="6" t="s">
        <v>17</v>
      </c>
      <c r="F236" s="6" t="s">
        <v>2807</v>
      </c>
      <c r="G236" s="6" t="s">
        <v>2801</v>
      </c>
      <c r="H236" s="6" t="s">
        <v>65</v>
      </c>
      <c r="I236" s="6" t="s">
        <v>2808</v>
      </c>
      <c r="J236" s="6" t="s">
        <v>89</v>
      </c>
      <c r="K236" s="7"/>
      <c r="L236" s="6" t="s">
        <v>88</v>
      </c>
      <c r="M236" s="7"/>
      <c r="N236" s="8" t="str">
        <f aca="false">IF(M236&lt;&gt;"",M236-Summary!$C$3,IF(K236="","",K236-Summary!$C$3))</f>
        <v/>
      </c>
      <c r="O236" s="6" t="s">
        <v>7</v>
      </c>
      <c r="P236" s="6" t="s">
        <v>89</v>
      </c>
      <c r="Q236" s="6" t="s">
        <v>89</v>
      </c>
      <c r="R236" s="6" t="s">
        <v>89</v>
      </c>
      <c r="S236" s="6" t="s">
        <v>2809</v>
      </c>
      <c r="T236" s="6" t="s">
        <v>89</v>
      </c>
      <c r="U236" s="6" t="s">
        <v>89</v>
      </c>
      <c r="V236" s="6" t="s">
        <v>89</v>
      </c>
      <c r="W236" s="6" t="s">
        <v>89</v>
      </c>
      <c r="X236" s="6" t="s">
        <v>89</v>
      </c>
      <c r="Y236" s="6" t="s">
        <v>2810</v>
      </c>
      <c r="Z236" s="6" t="s">
        <v>79</v>
      </c>
      <c r="AA236" s="6" t="s">
        <v>80</v>
      </c>
    </row>
    <row r="237" customFormat="false" ht="64.15" hidden="false" customHeight="false" outlineLevel="0" collapsed="false">
      <c r="A237" s="6" t="s">
        <v>1599</v>
      </c>
      <c r="B237" s="6" t="s">
        <v>1667</v>
      </c>
      <c r="C237" s="6" t="s">
        <v>2811</v>
      </c>
      <c r="D237" s="6" t="s">
        <v>2812</v>
      </c>
      <c r="E237" s="6" t="s">
        <v>19</v>
      </c>
      <c r="F237" s="6" t="s">
        <v>162</v>
      </c>
      <c r="G237" s="6" t="s">
        <v>2813</v>
      </c>
      <c r="H237" s="6" t="s">
        <v>65</v>
      </c>
      <c r="I237" s="6" t="s">
        <v>2317</v>
      </c>
      <c r="J237" s="6" t="s">
        <v>2814</v>
      </c>
      <c r="K237" s="7" t="n">
        <v>45350</v>
      </c>
      <c r="L237" s="6" t="s">
        <v>68</v>
      </c>
      <c r="M237" s="7"/>
      <c r="N237" s="8" t="n">
        <f aca="false">IF(M237&lt;&gt;"",M237-Summary!$C$3,IF(K237="","",K237-Summary!$C$3))</f>
        <v>-955</v>
      </c>
      <c r="O237" s="6" t="s">
        <v>7</v>
      </c>
      <c r="P237" s="6" t="s">
        <v>2815</v>
      </c>
      <c r="Q237" s="6" t="s">
        <v>2816</v>
      </c>
      <c r="R237" s="6" t="s">
        <v>2817</v>
      </c>
      <c r="S237" s="6" t="s">
        <v>2818</v>
      </c>
      <c r="T237" s="6" t="s">
        <v>2819</v>
      </c>
      <c r="U237" s="6" t="s">
        <v>2820</v>
      </c>
      <c r="V237" s="6" t="s">
        <v>2821</v>
      </c>
      <c r="W237" s="6" t="s">
        <v>2822</v>
      </c>
      <c r="X237" s="6" t="s">
        <v>89</v>
      </c>
      <c r="Y237" s="6" t="s">
        <v>2823</v>
      </c>
      <c r="Z237" s="6" t="s">
        <v>79</v>
      </c>
      <c r="AA237" s="6" t="s">
        <v>80</v>
      </c>
    </row>
    <row r="238" customFormat="false" ht="32.8" hidden="false" customHeight="false" outlineLevel="0" collapsed="false">
      <c r="A238" s="6" t="s">
        <v>1599</v>
      </c>
      <c r="B238" s="6" t="s">
        <v>1628</v>
      </c>
      <c r="C238" s="6" t="s">
        <v>2811</v>
      </c>
      <c r="D238" s="6" t="s">
        <v>2824</v>
      </c>
      <c r="E238" s="6" t="s">
        <v>17</v>
      </c>
      <c r="F238" s="6" t="s">
        <v>162</v>
      </c>
      <c r="G238" s="6" t="s">
        <v>553</v>
      </c>
      <c r="H238" s="6" t="s">
        <v>65</v>
      </c>
      <c r="I238" s="6" t="s">
        <v>2825</v>
      </c>
      <c r="J238" s="6" t="s">
        <v>2826</v>
      </c>
      <c r="K238" s="7" t="n">
        <v>45565</v>
      </c>
      <c r="L238" s="6" t="s">
        <v>68</v>
      </c>
      <c r="M238" s="7"/>
      <c r="N238" s="8" t="n">
        <f aca="false">IF(M238&lt;&gt;"",M238-Summary!$C$3,IF(K238="","",K238-Summary!$C$3))</f>
        <v>-740</v>
      </c>
      <c r="O238" s="6" t="s">
        <v>7</v>
      </c>
      <c r="P238" s="6" t="s">
        <v>2827</v>
      </c>
      <c r="Q238" s="6" t="s">
        <v>110</v>
      </c>
      <c r="R238" s="6" t="s">
        <v>89</v>
      </c>
      <c r="S238" s="6" t="s">
        <v>2828</v>
      </c>
      <c r="T238" s="6" t="s">
        <v>89</v>
      </c>
      <c r="U238" s="6" t="s">
        <v>89</v>
      </c>
      <c r="V238" s="6" t="s">
        <v>89</v>
      </c>
      <c r="W238" s="6" t="s">
        <v>89</v>
      </c>
      <c r="X238" s="6" t="s">
        <v>89</v>
      </c>
      <c r="Y238" s="6" t="s">
        <v>2829</v>
      </c>
      <c r="Z238" s="6" t="s">
        <v>79</v>
      </c>
      <c r="AA238" s="6" t="s">
        <v>80</v>
      </c>
    </row>
    <row r="239" customFormat="false" ht="43.25" hidden="false" customHeight="false" outlineLevel="0" collapsed="false">
      <c r="A239" s="6" t="s">
        <v>1599</v>
      </c>
      <c r="B239" s="6" t="s">
        <v>1628</v>
      </c>
      <c r="C239" s="6" t="s">
        <v>2805</v>
      </c>
      <c r="D239" s="6" t="s">
        <v>2830</v>
      </c>
      <c r="E239" s="6" t="s">
        <v>17</v>
      </c>
      <c r="F239" s="6" t="s">
        <v>2807</v>
      </c>
      <c r="G239" s="6" t="s">
        <v>2801</v>
      </c>
      <c r="H239" s="6" t="s">
        <v>65</v>
      </c>
      <c r="I239" s="6" t="s">
        <v>1003</v>
      </c>
      <c r="J239" s="6" t="s">
        <v>2831</v>
      </c>
      <c r="K239" s="7" t="n">
        <v>45657</v>
      </c>
      <c r="L239" s="6" t="s">
        <v>68</v>
      </c>
      <c r="M239" s="7"/>
      <c r="N239" s="8" t="n">
        <f aca="false">IF(M239&lt;&gt;"",M239-Summary!$C$3,IF(K239="","",K239-Summary!$C$3))</f>
        <v>-648</v>
      </c>
      <c r="O239" s="6" t="s">
        <v>7</v>
      </c>
      <c r="P239" s="6" t="s">
        <v>2832</v>
      </c>
      <c r="Q239" s="6" t="s">
        <v>216</v>
      </c>
      <c r="R239" s="6" t="s">
        <v>89</v>
      </c>
      <c r="S239" s="6" t="s">
        <v>2833</v>
      </c>
      <c r="T239" s="6" t="s">
        <v>89</v>
      </c>
      <c r="U239" s="6" t="s">
        <v>2834</v>
      </c>
      <c r="V239" s="6" t="s">
        <v>2835</v>
      </c>
      <c r="W239" s="6" t="s">
        <v>89</v>
      </c>
      <c r="X239" s="6" t="s">
        <v>2836</v>
      </c>
      <c r="Y239" s="6" t="s">
        <v>2837</v>
      </c>
      <c r="Z239" s="6" t="s">
        <v>79</v>
      </c>
      <c r="AA239" s="6" t="s">
        <v>80</v>
      </c>
    </row>
    <row r="240" customFormat="false" ht="53.7" hidden="false" customHeight="false" outlineLevel="0" collapsed="false">
      <c r="A240" s="6" t="s">
        <v>1599</v>
      </c>
      <c r="B240" s="6" t="s">
        <v>1628</v>
      </c>
      <c r="C240" s="6" t="s">
        <v>2838</v>
      </c>
      <c r="D240" s="6" t="s">
        <v>2839</v>
      </c>
      <c r="E240" s="6" t="s">
        <v>17</v>
      </c>
      <c r="F240" s="6" t="s">
        <v>427</v>
      </c>
      <c r="G240" s="6" t="s">
        <v>2840</v>
      </c>
      <c r="H240" s="6" t="s">
        <v>65</v>
      </c>
      <c r="I240" s="6" t="s">
        <v>2808</v>
      </c>
      <c r="J240" s="6" t="s">
        <v>2841</v>
      </c>
      <c r="K240" s="7" t="n">
        <v>45688</v>
      </c>
      <c r="L240" s="6" t="s">
        <v>68</v>
      </c>
      <c r="M240" s="7"/>
      <c r="N240" s="8" t="n">
        <f aca="false">IF(M240&lt;&gt;"",M240-Summary!$C$3,IF(K240="","",K240-Summary!$C$3))</f>
        <v>-617</v>
      </c>
      <c r="O240" s="6" t="s">
        <v>7</v>
      </c>
      <c r="P240" s="6" t="s">
        <v>89</v>
      </c>
      <c r="Q240" s="6" t="s">
        <v>89</v>
      </c>
      <c r="R240" s="6" t="s">
        <v>89</v>
      </c>
      <c r="S240" s="6" t="s">
        <v>2842</v>
      </c>
      <c r="T240" s="6" t="s">
        <v>89</v>
      </c>
      <c r="U240" s="6" t="s">
        <v>89</v>
      </c>
      <c r="V240" s="6" t="s">
        <v>89</v>
      </c>
      <c r="W240" s="6" t="s">
        <v>89</v>
      </c>
      <c r="X240" s="6" t="s">
        <v>89</v>
      </c>
      <c r="Y240" s="6" t="s">
        <v>2843</v>
      </c>
      <c r="Z240" s="6" t="s">
        <v>79</v>
      </c>
      <c r="AA240" s="6" t="s">
        <v>80</v>
      </c>
    </row>
    <row r="241" customFormat="false" ht="22.35" hidden="false" customHeight="false" outlineLevel="0" collapsed="false">
      <c r="A241" s="6" t="s">
        <v>1599</v>
      </c>
      <c r="B241" s="6" t="s">
        <v>1628</v>
      </c>
      <c r="C241" s="6" t="s">
        <v>2838</v>
      </c>
      <c r="D241" s="6" t="s">
        <v>2844</v>
      </c>
      <c r="E241" s="6" t="s">
        <v>18</v>
      </c>
      <c r="F241" s="6" t="s">
        <v>147</v>
      </c>
      <c r="G241" s="6" t="s">
        <v>2840</v>
      </c>
      <c r="H241" s="6" t="s">
        <v>65</v>
      </c>
      <c r="I241" s="6" t="s">
        <v>2845</v>
      </c>
      <c r="J241" s="6" t="s">
        <v>2463</v>
      </c>
      <c r="K241" s="7" t="n">
        <v>45688</v>
      </c>
      <c r="L241" s="6" t="s">
        <v>68</v>
      </c>
      <c r="M241" s="7"/>
      <c r="N241" s="8" t="n">
        <f aca="false">IF(M241&lt;&gt;"",M241-Summary!$C$3,IF(K241="","",K241-Summary!$C$3))</f>
        <v>-617</v>
      </c>
      <c r="O241" s="6" t="s">
        <v>7</v>
      </c>
      <c r="P241" s="6" t="s">
        <v>2846</v>
      </c>
      <c r="Q241" s="6" t="s">
        <v>2847</v>
      </c>
      <c r="R241" s="6" t="s">
        <v>89</v>
      </c>
      <c r="S241" s="6" t="s">
        <v>89</v>
      </c>
      <c r="T241" s="6" t="s">
        <v>89</v>
      </c>
      <c r="U241" s="6" t="s">
        <v>89</v>
      </c>
      <c r="V241" s="6" t="s">
        <v>89</v>
      </c>
      <c r="W241" s="6" t="s">
        <v>89</v>
      </c>
      <c r="X241" s="6" t="s">
        <v>89</v>
      </c>
      <c r="Y241" s="6" t="s">
        <v>2848</v>
      </c>
      <c r="Z241" s="6" t="s">
        <v>79</v>
      </c>
      <c r="AA241" s="6" t="s">
        <v>80</v>
      </c>
    </row>
    <row r="242" customFormat="false" ht="32.8" hidden="false" customHeight="false" outlineLevel="0" collapsed="false">
      <c r="A242" s="6" t="s">
        <v>1599</v>
      </c>
      <c r="B242" s="6" t="s">
        <v>1628</v>
      </c>
      <c r="C242" s="6" t="s">
        <v>2805</v>
      </c>
      <c r="D242" s="6" t="s">
        <v>2849</v>
      </c>
      <c r="E242" s="6" t="s">
        <v>18</v>
      </c>
      <c r="F242" s="6" t="s">
        <v>2807</v>
      </c>
      <c r="G242" s="6" t="s">
        <v>2801</v>
      </c>
      <c r="H242" s="6" t="s">
        <v>65</v>
      </c>
      <c r="I242" s="6" t="s">
        <v>2845</v>
      </c>
      <c r="J242" s="6" t="s">
        <v>2463</v>
      </c>
      <c r="K242" s="7" t="n">
        <v>45688</v>
      </c>
      <c r="L242" s="6" t="s">
        <v>68</v>
      </c>
      <c r="M242" s="7"/>
      <c r="N242" s="8" t="n">
        <f aca="false">IF(M242&lt;&gt;"",M242-Summary!$C$3,IF(K242="","",K242-Summary!$C$3))</f>
        <v>-617</v>
      </c>
      <c r="O242" s="6" t="s">
        <v>7</v>
      </c>
      <c r="P242" s="6" t="s">
        <v>2850</v>
      </c>
      <c r="Q242" s="6" t="s">
        <v>2851</v>
      </c>
      <c r="R242" s="6" t="s">
        <v>89</v>
      </c>
      <c r="S242" s="6" t="s">
        <v>2852</v>
      </c>
      <c r="T242" s="6" t="s">
        <v>89</v>
      </c>
      <c r="U242" s="6" t="s">
        <v>89</v>
      </c>
      <c r="V242" s="6" t="s">
        <v>89</v>
      </c>
      <c r="W242" s="6" t="s">
        <v>89</v>
      </c>
      <c r="X242" s="6" t="s">
        <v>89</v>
      </c>
      <c r="Y242" s="6" t="s">
        <v>2853</v>
      </c>
      <c r="Z242" s="6" t="s">
        <v>79</v>
      </c>
      <c r="AA242" s="6" t="s">
        <v>80</v>
      </c>
    </row>
    <row r="243" customFormat="false" ht="43.25" hidden="false" customHeight="false" outlineLevel="0" collapsed="false">
      <c r="A243" s="6" t="s">
        <v>1599</v>
      </c>
      <c r="B243" s="6" t="s">
        <v>1628</v>
      </c>
      <c r="C243" s="6" t="s">
        <v>2838</v>
      </c>
      <c r="D243" s="6" t="s">
        <v>2854</v>
      </c>
      <c r="E243" s="6" t="s">
        <v>18</v>
      </c>
      <c r="F243" s="6" t="s">
        <v>147</v>
      </c>
      <c r="G243" s="6" t="s">
        <v>2840</v>
      </c>
      <c r="H243" s="6" t="s">
        <v>65</v>
      </c>
      <c r="I243" s="6" t="s">
        <v>1071</v>
      </c>
      <c r="J243" s="6" t="s">
        <v>2088</v>
      </c>
      <c r="K243" s="7" t="n">
        <v>45716</v>
      </c>
      <c r="L243" s="6" t="s">
        <v>68</v>
      </c>
      <c r="M243" s="7"/>
      <c r="N243" s="8" t="n">
        <f aca="false">IF(M243&lt;&gt;"",M243-Summary!$C$3,IF(K243="","",K243-Summary!$C$3))</f>
        <v>-589</v>
      </c>
      <c r="O243" s="6" t="s">
        <v>7</v>
      </c>
      <c r="P243" s="6" t="s">
        <v>2855</v>
      </c>
      <c r="Q243" s="6" t="s">
        <v>110</v>
      </c>
      <c r="R243" s="6" t="s">
        <v>1958</v>
      </c>
      <c r="S243" s="6" t="s">
        <v>2856</v>
      </c>
      <c r="T243" s="6" t="s">
        <v>89</v>
      </c>
      <c r="U243" s="6" t="s">
        <v>89</v>
      </c>
      <c r="V243" s="6" t="s">
        <v>89</v>
      </c>
      <c r="W243" s="6" t="s">
        <v>89</v>
      </c>
      <c r="X243" s="6" t="s">
        <v>89</v>
      </c>
      <c r="Y243" s="6" t="s">
        <v>2857</v>
      </c>
      <c r="Z243" s="6" t="s">
        <v>79</v>
      </c>
      <c r="AA243" s="6" t="s">
        <v>80</v>
      </c>
    </row>
    <row r="244" customFormat="false" ht="43.25" hidden="false" customHeight="false" outlineLevel="0" collapsed="false">
      <c r="A244" s="6" t="s">
        <v>1599</v>
      </c>
      <c r="B244" s="6" t="s">
        <v>1667</v>
      </c>
      <c r="C244" s="6" t="s">
        <v>2858</v>
      </c>
      <c r="D244" s="6" t="s">
        <v>2859</v>
      </c>
      <c r="E244" s="6" t="s">
        <v>17</v>
      </c>
      <c r="F244" s="6" t="s">
        <v>224</v>
      </c>
      <c r="G244" s="6" t="s">
        <v>2860</v>
      </c>
      <c r="H244" s="6" t="s">
        <v>65</v>
      </c>
      <c r="I244" s="6" t="s">
        <v>1003</v>
      </c>
      <c r="J244" s="6" t="s">
        <v>2123</v>
      </c>
      <c r="K244" s="7" t="n">
        <v>45930</v>
      </c>
      <c r="L244" s="6" t="s">
        <v>68</v>
      </c>
      <c r="M244" s="7"/>
      <c r="N244" s="8" t="n">
        <f aca="false">IF(M244&lt;&gt;"",M244-Summary!$C$3,IF(K244="","",K244-Summary!$C$3))</f>
        <v>-375</v>
      </c>
      <c r="O244" s="6" t="s">
        <v>7</v>
      </c>
      <c r="P244" s="6" t="s">
        <v>2861</v>
      </c>
      <c r="Q244" s="6" t="s">
        <v>2862</v>
      </c>
      <c r="R244" s="6" t="s">
        <v>2863</v>
      </c>
      <c r="S244" s="6" t="s">
        <v>2864</v>
      </c>
      <c r="T244" s="6" t="s">
        <v>89</v>
      </c>
      <c r="U244" s="6" t="s">
        <v>2865</v>
      </c>
      <c r="V244" s="6" t="s">
        <v>89</v>
      </c>
      <c r="W244" s="6" t="s">
        <v>89</v>
      </c>
      <c r="X244" s="6" t="s">
        <v>89</v>
      </c>
      <c r="Y244" s="6" t="s">
        <v>2866</v>
      </c>
      <c r="Z244" s="6" t="s">
        <v>79</v>
      </c>
      <c r="AA244" s="6" t="s">
        <v>80</v>
      </c>
    </row>
    <row r="245" customFormat="false" ht="43.25" hidden="false" customHeight="false" outlineLevel="0" collapsed="false">
      <c r="A245" s="6" t="s">
        <v>1599</v>
      </c>
      <c r="B245" s="6" t="s">
        <v>1667</v>
      </c>
      <c r="C245" s="6" t="s">
        <v>2867</v>
      </c>
      <c r="D245" s="6" t="s">
        <v>2868</v>
      </c>
      <c r="E245" s="6" t="s">
        <v>18</v>
      </c>
      <c r="F245" s="6" t="s">
        <v>224</v>
      </c>
      <c r="G245" s="6" t="s">
        <v>2869</v>
      </c>
      <c r="H245" s="6" t="s">
        <v>65</v>
      </c>
      <c r="I245" s="6" t="s">
        <v>2870</v>
      </c>
      <c r="J245" s="6" t="s">
        <v>2136</v>
      </c>
      <c r="K245" s="7" t="n">
        <v>46022</v>
      </c>
      <c r="L245" s="6" t="s">
        <v>68</v>
      </c>
      <c r="M245" s="7"/>
      <c r="N245" s="8" t="n">
        <f aca="false">IF(M245&lt;&gt;"",M245-Summary!$C$3,IF(K245="","",K245-Summary!$C$3))</f>
        <v>-283</v>
      </c>
      <c r="O245" s="6" t="s">
        <v>7</v>
      </c>
      <c r="P245" s="6" t="s">
        <v>2871</v>
      </c>
      <c r="Q245" s="6" t="s">
        <v>110</v>
      </c>
      <c r="R245" s="6" t="s">
        <v>89</v>
      </c>
      <c r="S245" s="6" t="s">
        <v>2872</v>
      </c>
      <c r="T245" s="6" t="s">
        <v>89</v>
      </c>
      <c r="U245" s="6" t="s">
        <v>89</v>
      </c>
      <c r="V245" s="6" t="s">
        <v>89</v>
      </c>
      <c r="W245" s="6" t="s">
        <v>89</v>
      </c>
      <c r="X245" s="6" t="s">
        <v>89</v>
      </c>
      <c r="Y245" s="6" t="s">
        <v>2873</v>
      </c>
      <c r="Z245" s="6" t="s">
        <v>79</v>
      </c>
      <c r="AA245" s="6" t="s">
        <v>80</v>
      </c>
    </row>
    <row r="246" customFormat="false" ht="43.25" hidden="false" customHeight="false" outlineLevel="0" collapsed="false">
      <c r="A246" s="6" t="s">
        <v>1695</v>
      </c>
      <c r="B246" s="6" t="s">
        <v>1680</v>
      </c>
      <c r="C246" s="6" t="s">
        <v>2874</v>
      </c>
      <c r="D246" s="6" t="s">
        <v>2875</v>
      </c>
      <c r="E246" s="6" t="s">
        <v>17</v>
      </c>
      <c r="F246" s="6" t="s">
        <v>224</v>
      </c>
      <c r="G246" s="6" t="s">
        <v>2876</v>
      </c>
      <c r="H246" s="6" t="s">
        <v>65</v>
      </c>
      <c r="I246" s="6" t="s">
        <v>1003</v>
      </c>
      <c r="J246" s="6" t="s">
        <v>2641</v>
      </c>
      <c r="K246" s="7" t="n">
        <v>45777</v>
      </c>
      <c r="L246" s="6" t="s">
        <v>68</v>
      </c>
      <c r="M246" s="7"/>
      <c r="N246" s="8" t="n">
        <f aca="false">IF(M246&lt;&gt;"",M246-Summary!$C$3,IF(K246="","",K246-Summary!$C$3))</f>
        <v>-528</v>
      </c>
      <c r="O246" s="6" t="s">
        <v>7</v>
      </c>
      <c r="P246" s="6" t="s">
        <v>89</v>
      </c>
      <c r="Q246" s="6" t="s">
        <v>2877</v>
      </c>
      <c r="R246" s="6" t="s">
        <v>2817</v>
      </c>
      <c r="S246" s="6" t="s">
        <v>2878</v>
      </c>
      <c r="T246" s="6" t="s">
        <v>89</v>
      </c>
      <c r="U246" s="6" t="s">
        <v>2879</v>
      </c>
      <c r="V246" s="6" t="s">
        <v>89</v>
      </c>
      <c r="W246" s="6" t="s">
        <v>89</v>
      </c>
      <c r="X246" s="6" t="s">
        <v>89</v>
      </c>
      <c r="Y246" s="6" t="s">
        <v>2880</v>
      </c>
      <c r="Z246" s="6" t="s">
        <v>79</v>
      </c>
      <c r="AA246" s="6" t="s">
        <v>80</v>
      </c>
    </row>
    <row r="247" customFormat="false" ht="43.25" hidden="false" customHeight="false" outlineLevel="0" collapsed="false">
      <c r="A247" s="6" t="s">
        <v>2881</v>
      </c>
      <c r="B247" s="6" t="s">
        <v>1667</v>
      </c>
      <c r="C247" s="6" t="s">
        <v>2811</v>
      </c>
      <c r="D247" s="6" t="s">
        <v>2882</v>
      </c>
      <c r="E247" s="6" t="s">
        <v>17</v>
      </c>
      <c r="F247" s="6" t="s">
        <v>2883</v>
      </c>
      <c r="G247" s="6" t="s">
        <v>2884</v>
      </c>
      <c r="H247" s="6" t="s">
        <v>65</v>
      </c>
      <c r="I247" s="6" t="s">
        <v>2317</v>
      </c>
      <c r="J247" s="6" t="s">
        <v>2885</v>
      </c>
      <c r="K247" s="7" t="n">
        <v>44834</v>
      </c>
      <c r="L247" s="6" t="s">
        <v>68</v>
      </c>
      <c r="M247" s="7"/>
      <c r="N247" s="8" t="n">
        <f aca="false">IF(M247&lt;&gt;"",M247-Summary!$C$3,IF(K247="","",K247-Summary!$C$3))</f>
        <v>-1471</v>
      </c>
      <c r="O247" s="6" t="s">
        <v>7</v>
      </c>
      <c r="P247" s="6" t="s">
        <v>1605</v>
      </c>
      <c r="Q247" s="6" t="s">
        <v>2886</v>
      </c>
      <c r="R247" s="6" t="s">
        <v>2887</v>
      </c>
      <c r="S247" s="6" t="s">
        <v>2888</v>
      </c>
      <c r="T247" s="6" t="s">
        <v>1622</v>
      </c>
      <c r="U247" s="6" t="s">
        <v>2889</v>
      </c>
      <c r="V247" s="6" t="s">
        <v>2890</v>
      </c>
      <c r="W247" s="6" t="s">
        <v>2891</v>
      </c>
      <c r="X247" s="6" t="s">
        <v>2892</v>
      </c>
      <c r="Y247" s="6" t="s">
        <v>2893</v>
      </c>
      <c r="Z247" s="6" t="s">
        <v>128</v>
      </c>
      <c r="AA247" s="6" t="s">
        <v>80</v>
      </c>
    </row>
    <row r="248" customFormat="false" ht="43.25" hidden="false" customHeight="false" outlineLevel="0" collapsed="false">
      <c r="A248" s="6" t="s">
        <v>2894</v>
      </c>
      <c r="B248" s="6" t="s">
        <v>2894</v>
      </c>
      <c r="C248" s="6" t="s">
        <v>2895</v>
      </c>
      <c r="D248" s="6" t="s">
        <v>2896</v>
      </c>
      <c r="E248" s="6" t="s">
        <v>21</v>
      </c>
      <c r="F248" s="6" t="s">
        <v>147</v>
      </c>
      <c r="G248" s="6" t="s">
        <v>122</v>
      </c>
      <c r="H248" s="6" t="s">
        <v>568</v>
      </c>
      <c r="I248" s="6" t="s">
        <v>2897</v>
      </c>
      <c r="J248" s="6" t="s">
        <v>2898</v>
      </c>
      <c r="K248" s="7" t="n">
        <v>45473</v>
      </c>
      <c r="L248" s="6" t="s">
        <v>68</v>
      </c>
      <c r="M248" s="7"/>
      <c r="N248" s="8" t="n">
        <f aca="false">IF(M248&lt;&gt;"",M248-Summary!$C$3,IF(K248="","",K248-Summary!$C$3))</f>
        <v>-832</v>
      </c>
      <c r="O248" s="6" t="s">
        <v>7</v>
      </c>
      <c r="P248" s="6" t="s">
        <v>69</v>
      </c>
      <c r="Q248" s="6" t="s">
        <v>2066</v>
      </c>
      <c r="R248" s="6" t="s">
        <v>2899</v>
      </c>
      <c r="S248" s="6" t="s">
        <v>2900</v>
      </c>
      <c r="T248" s="6" t="s">
        <v>2069</v>
      </c>
      <c r="U248" s="6" t="s">
        <v>89</v>
      </c>
      <c r="V248" s="6" t="s">
        <v>2901</v>
      </c>
      <c r="W248" s="6" t="s">
        <v>2377</v>
      </c>
      <c r="X248" s="6" t="s">
        <v>2902</v>
      </c>
      <c r="Y248" s="6" t="s">
        <v>2903</v>
      </c>
      <c r="Z248" s="6" t="s">
        <v>79</v>
      </c>
      <c r="AA248" s="6" t="s">
        <v>194</v>
      </c>
    </row>
    <row r="249" customFormat="false" ht="43.25" hidden="false" customHeight="false" outlineLevel="0" collapsed="false">
      <c r="A249" s="6" t="s">
        <v>2904</v>
      </c>
      <c r="B249" s="6" t="s">
        <v>2905</v>
      </c>
      <c r="C249" s="6" t="s">
        <v>2906</v>
      </c>
      <c r="D249" s="6" t="s">
        <v>2907</v>
      </c>
      <c r="E249" s="6" t="s">
        <v>21</v>
      </c>
      <c r="F249" s="6" t="s">
        <v>63</v>
      </c>
      <c r="G249" s="6" t="s">
        <v>2908</v>
      </c>
      <c r="H249" s="6" t="s">
        <v>568</v>
      </c>
      <c r="I249" s="6" t="s">
        <v>2909</v>
      </c>
      <c r="J249" s="6" t="s">
        <v>2910</v>
      </c>
      <c r="K249" s="7" t="n">
        <v>46070</v>
      </c>
      <c r="L249" s="6" t="s">
        <v>68</v>
      </c>
      <c r="M249" s="7"/>
      <c r="N249" s="8" t="n">
        <f aca="false">IF(M249&lt;&gt;"",M249-Summary!$C$3,IF(K249="","",K249-Summary!$C$3))</f>
        <v>-235</v>
      </c>
      <c r="O249" s="6" t="s">
        <v>7</v>
      </c>
      <c r="P249" s="6" t="s">
        <v>2911</v>
      </c>
      <c r="Q249" s="6" t="s">
        <v>2066</v>
      </c>
      <c r="R249" s="6" t="s">
        <v>2912</v>
      </c>
      <c r="S249" s="6" t="s">
        <v>2913</v>
      </c>
      <c r="T249" s="6" t="s">
        <v>2914</v>
      </c>
      <c r="U249" s="6" t="s">
        <v>89</v>
      </c>
      <c r="V249" s="6" t="s">
        <v>2915</v>
      </c>
      <c r="W249" s="6" t="s">
        <v>2377</v>
      </c>
      <c r="X249" s="6" t="s">
        <v>2916</v>
      </c>
      <c r="Y249" s="6" t="s">
        <v>2917</v>
      </c>
      <c r="Z249" s="6" t="s">
        <v>79</v>
      </c>
      <c r="AA249" s="6" t="s">
        <v>80</v>
      </c>
    </row>
    <row r="250" customFormat="false" ht="43.25" hidden="false" customHeight="false" outlineLevel="0" collapsed="false">
      <c r="A250" s="6" t="s">
        <v>2918</v>
      </c>
      <c r="B250" s="6" t="s">
        <v>2918</v>
      </c>
      <c r="C250" s="6" t="s">
        <v>2919</v>
      </c>
      <c r="D250" s="6" t="s">
        <v>2920</v>
      </c>
      <c r="E250" s="6" t="s">
        <v>21</v>
      </c>
      <c r="F250" s="6" t="s">
        <v>162</v>
      </c>
      <c r="G250" s="6" t="s">
        <v>122</v>
      </c>
      <c r="H250" s="6" t="s">
        <v>568</v>
      </c>
      <c r="I250" s="6" t="s">
        <v>2921</v>
      </c>
      <c r="J250" s="6" t="s">
        <v>2922</v>
      </c>
      <c r="K250" s="7" t="n">
        <v>44242</v>
      </c>
      <c r="L250" s="6" t="s">
        <v>68</v>
      </c>
      <c r="M250" s="7"/>
      <c r="N250" s="8" t="n">
        <f aca="false">IF(M250&lt;&gt;"",M250-Summary!$C$3,IF(K250="","",K250-Summary!$C$3))</f>
        <v>-2063</v>
      </c>
      <c r="O250" s="6" t="s">
        <v>7</v>
      </c>
      <c r="P250" s="6" t="s">
        <v>69</v>
      </c>
      <c r="Q250" s="6" t="s">
        <v>2066</v>
      </c>
      <c r="R250" s="6" t="s">
        <v>2067</v>
      </c>
      <c r="S250" s="6" t="s">
        <v>2068</v>
      </c>
      <c r="T250" s="6" t="s">
        <v>2069</v>
      </c>
      <c r="U250" s="6" t="s">
        <v>89</v>
      </c>
      <c r="V250" s="6" t="s">
        <v>2436</v>
      </c>
      <c r="W250" s="6" t="s">
        <v>2923</v>
      </c>
      <c r="X250" s="6" t="s">
        <v>2924</v>
      </c>
      <c r="Y250" s="6" t="s">
        <v>2925</v>
      </c>
      <c r="Z250" s="6" t="s">
        <v>128</v>
      </c>
      <c r="AA250" s="6" t="s">
        <v>194</v>
      </c>
    </row>
    <row r="251" customFormat="false" ht="53.7" hidden="false" customHeight="false" outlineLevel="0" collapsed="false">
      <c r="A251" s="6" t="s">
        <v>143</v>
      </c>
      <c r="B251" s="6" t="s">
        <v>2054</v>
      </c>
      <c r="C251" s="6" t="s">
        <v>2055</v>
      </c>
      <c r="D251" s="6" t="s">
        <v>2926</v>
      </c>
      <c r="E251" s="6" t="s">
        <v>21</v>
      </c>
      <c r="F251" s="6" t="s">
        <v>93</v>
      </c>
      <c r="G251" s="6" t="s">
        <v>122</v>
      </c>
      <c r="H251" s="6" t="s">
        <v>568</v>
      </c>
      <c r="I251" s="6" t="s">
        <v>2927</v>
      </c>
      <c r="J251" s="6" t="s">
        <v>2928</v>
      </c>
      <c r="K251" s="7" t="n">
        <v>45230</v>
      </c>
      <c r="L251" s="6" t="s">
        <v>68</v>
      </c>
      <c r="M251" s="7"/>
      <c r="N251" s="8" t="n">
        <f aca="false">IF(M251&lt;&gt;"",M251-Summary!$C$3,IF(K251="","",K251-Summary!$C$3))</f>
        <v>-1075</v>
      </c>
      <c r="O251" s="6" t="s">
        <v>8</v>
      </c>
      <c r="P251" s="6" t="s">
        <v>69</v>
      </c>
      <c r="Q251" s="6" t="s">
        <v>2929</v>
      </c>
      <c r="R251" s="6" t="s">
        <v>2930</v>
      </c>
      <c r="S251" s="6" t="s">
        <v>2931</v>
      </c>
      <c r="T251" s="6" t="s">
        <v>2069</v>
      </c>
      <c r="U251" s="6" t="s">
        <v>89</v>
      </c>
      <c r="V251" s="6" t="s">
        <v>2932</v>
      </c>
      <c r="W251" s="6" t="s">
        <v>2933</v>
      </c>
      <c r="X251" s="6" t="s">
        <v>2934</v>
      </c>
      <c r="Y251" s="6" t="s">
        <v>2935</v>
      </c>
      <c r="Z251" s="6" t="s">
        <v>79</v>
      </c>
      <c r="AA251" s="6" t="s">
        <v>80</v>
      </c>
    </row>
    <row r="252" customFormat="false" ht="53.7" hidden="false" customHeight="false" outlineLevel="0" collapsed="false">
      <c r="A252" s="6" t="s">
        <v>158</v>
      </c>
      <c r="B252" s="6" t="s">
        <v>159</v>
      </c>
      <c r="C252" s="6" t="s">
        <v>2936</v>
      </c>
      <c r="D252" s="6" t="s">
        <v>2937</v>
      </c>
      <c r="E252" s="6" t="s">
        <v>21</v>
      </c>
      <c r="F252" s="6" t="s">
        <v>224</v>
      </c>
      <c r="G252" s="6" t="s">
        <v>122</v>
      </c>
      <c r="H252" s="6" t="s">
        <v>65</v>
      </c>
      <c r="I252" s="6" t="s">
        <v>2122</v>
      </c>
      <c r="J252" s="6" t="s">
        <v>2938</v>
      </c>
      <c r="K252" s="7" t="n">
        <v>45930</v>
      </c>
      <c r="L252" s="6" t="s">
        <v>68</v>
      </c>
      <c r="M252" s="7"/>
      <c r="N252" s="8" t="n">
        <f aca="false">IF(M252&lt;&gt;"",M252-Summary!$C$3,IF(K252="","",K252-Summary!$C$3))</f>
        <v>-375</v>
      </c>
      <c r="O252" s="6" t="s">
        <v>8</v>
      </c>
      <c r="P252" s="6" t="s">
        <v>69</v>
      </c>
      <c r="Q252" s="6" t="s">
        <v>2939</v>
      </c>
      <c r="R252" s="6" t="s">
        <v>2940</v>
      </c>
      <c r="S252" s="6" t="s">
        <v>2941</v>
      </c>
      <c r="T252" s="6" t="s">
        <v>89</v>
      </c>
      <c r="U252" s="6" t="s">
        <v>2942</v>
      </c>
      <c r="V252" s="6" t="s">
        <v>2943</v>
      </c>
      <c r="W252" s="6" t="s">
        <v>2944</v>
      </c>
      <c r="X252" s="6" t="s">
        <v>2945</v>
      </c>
      <c r="Y252" s="6" t="s">
        <v>2946</v>
      </c>
      <c r="Z252" s="6" t="s">
        <v>79</v>
      </c>
      <c r="AA252" s="6" t="s">
        <v>80</v>
      </c>
    </row>
    <row r="253" customFormat="false" ht="53.7" hidden="false" customHeight="false" outlineLevel="0" collapsed="false">
      <c r="A253" s="6" t="s">
        <v>236</v>
      </c>
      <c r="B253" s="6" t="s">
        <v>237</v>
      </c>
      <c r="C253" s="6" t="s">
        <v>2947</v>
      </c>
      <c r="D253" s="6" t="s">
        <v>2948</v>
      </c>
      <c r="E253" s="6" t="s">
        <v>25</v>
      </c>
      <c r="F253" s="6" t="s">
        <v>147</v>
      </c>
      <c r="G253" s="6" t="s">
        <v>2949</v>
      </c>
      <c r="H253" s="6" t="s">
        <v>2950</v>
      </c>
      <c r="I253" s="6" t="s">
        <v>2951</v>
      </c>
      <c r="J253" s="6" t="s">
        <v>89</v>
      </c>
      <c r="K253" s="7"/>
      <c r="L253" s="6" t="s">
        <v>88</v>
      </c>
      <c r="M253" s="7"/>
      <c r="N253" s="8" t="str">
        <f aca="false">IF(M253&lt;&gt;"",M253-Summary!$C$3,IF(K253="","",K253-Summary!$C$3))</f>
        <v/>
      </c>
      <c r="O253" s="6" t="s">
        <v>8</v>
      </c>
      <c r="P253" s="6" t="s">
        <v>2952</v>
      </c>
      <c r="Q253" s="6" t="s">
        <v>216</v>
      </c>
      <c r="R253" s="6" t="s">
        <v>2953</v>
      </c>
      <c r="S253" s="6" t="s">
        <v>2954</v>
      </c>
      <c r="T253" s="6" t="s">
        <v>89</v>
      </c>
      <c r="U253" s="6" t="s">
        <v>2955</v>
      </c>
      <c r="V253" s="6" t="s">
        <v>2956</v>
      </c>
      <c r="W253" s="6" t="s">
        <v>89</v>
      </c>
      <c r="X253" s="6" t="s">
        <v>2957</v>
      </c>
      <c r="Y253" s="6" t="s">
        <v>2958</v>
      </c>
      <c r="Z253" s="6" t="s">
        <v>128</v>
      </c>
      <c r="AA253" s="6" t="s">
        <v>80</v>
      </c>
    </row>
    <row r="254" customFormat="false" ht="53.7" hidden="false" customHeight="false" outlineLevel="0" collapsed="false">
      <c r="A254" s="6" t="s">
        <v>236</v>
      </c>
      <c r="B254" s="6" t="s">
        <v>2959</v>
      </c>
      <c r="C254" s="6" t="s">
        <v>2947</v>
      </c>
      <c r="D254" s="6" t="s">
        <v>2960</v>
      </c>
      <c r="E254" s="6" t="s">
        <v>24</v>
      </c>
      <c r="F254" s="6" t="s">
        <v>2961</v>
      </c>
      <c r="G254" s="6" t="s">
        <v>122</v>
      </c>
      <c r="H254" s="6" t="s">
        <v>226</v>
      </c>
      <c r="I254" s="6" t="s">
        <v>2962</v>
      </c>
      <c r="J254" s="6" t="s">
        <v>2963</v>
      </c>
      <c r="K254" s="7"/>
      <c r="L254" s="6" t="s">
        <v>88</v>
      </c>
      <c r="M254" s="7"/>
      <c r="N254" s="8" t="str">
        <f aca="false">IF(M254&lt;&gt;"",M254-Summary!$C$3,IF(K254="","",K254-Summary!$C$3))</f>
        <v/>
      </c>
      <c r="O254" s="6" t="s">
        <v>8</v>
      </c>
      <c r="P254" s="6" t="s">
        <v>2964</v>
      </c>
      <c r="Q254" s="6" t="s">
        <v>216</v>
      </c>
      <c r="R254" s="6" t="s">
        <v>2965</v>
      </c>
      <c r="S254" s="6" t="s">
        <v>2966</v>
      </c>
      <c r="T254" s="6" t="s">
        <v>2967</v>
      </c>
      <c r="U254" s="6" t="s">
        <v>89</v>
      </c>
      <c r="V254" s="6" t="s">
        <v>216</v>
      </c>
      <c r="W254" s="6" t="s">
        <v>2968</v>
      </c>
      <c r="X254" s="6" t="s">
        <v>2969</v>
      </c>
      <c r="Y254" s="6" t="s">
        <v>2970</v>
      </c>
      <c r="Z254" s="6" t="s">
        <v>79</v>
      </c>
      <c r="AA254" s="6" t="s">
        <v>80</v>
      </c>
    </row>
    <row r="255" customFormat="false" ht="64.15" hidden="false" customHeight="false" outlineLevel="0" collapsed="false">
      <c r="A255" s="6" t="s">
        <v>236</v>
      </c>
      <c r="B255" s="6" t="s">
        <v>237</v>
      </c>
      <c r="C255" s="6" t="s">
        <v>2947</v>
      </c>
      <c r="D255" s="6" t="s">
        <v>2971</v>
      </c>
      <c r="E255" s="6" t="s">
        <v>20</v>
      </c>
      <c r="F255" s="6" t="s">
        <v>147</v>
      </c>
      <c r="G255" s="6" t="s">
        <v>658</v>
      </c>
      <c r="H255" s="6" t="s">
        <v>65</v>
      </c>
      <c r="I255" s="6" t="s">
        <v>2972</v>
      </c>
      <c r="J255" s="6" t="s">
        <v>2973</v>
      </c>
      <c r="K255" s="7" t="n">
        <v>45930</v>
      </c>
      <c r="L255" s="6" t="s">
        <v>68</v>
      </c>
      <c r="M255" s="7"/>
      <c r="N255" s="8" t="n">
        <f aca="false">IF(M255&lt;&gt;"",M255-Summary!$C$3,IF(K255="","",K255-Summary!$C$3))</f>
        <v>-375</v>
      </c>
      <c r="O255" s="6" t="s">
        <v>8</v>
      </c>
      <c r="P255" s="6" t="s">
        <v>89</v>
      </c>
      <c r="Q255" s="6" t="s">
        <v>89</v>
      </c>
      <c r="R255" s="6" t="s">
        <v>2974</v>
      </c>
      <c r="S255" s="6" t="s">
        <v>2975</v>
      </c>
      <c r="T255" s="6" t="s">
        <v>89</v>
      </c>
      <c r="U255" s="6" t="s">
        <v>2976</v>
      </c>
      <c r="V255" s="6" t="s">
        <v>2977</v>
      </c>
      <c r="W255" s="6" t="s">
        <v>89</v>
      </c>
      <c r="X255" s="6" t="s">
        <v>2978</v>
      </c>
      <c r="Y255" s="6" t="s">
        <v>2979</v>
      </c>
      <c r="Z255" s="6" t="s">
        <v>79</v>
      </c>
      <c r="AA255" s="6" t="s">
        <v>80</v>
      </c>
    </row>
    <row r="256" customFormat="false" ht="53.7" hidden="false" customHeight="false" outlineLevel="0" collapsed="false">
      <c r="A256" s="6" t="s">
        <v>632</v>
      </c>
      <c r="B256" s="6" t="s">
        <v>2980</v>
      </c>
      <c r="C256" s="6" t="s">
        <v>2981</v>
      </c>
      <c r="D256" s="6" t="s">
        <v>2982</v>
      </c>
      <c r="E256" s="6" t="s">
        <v>20</v>
      </c>
      <c r="F256" s="6" t="s">
        <v>224</v>
      </c>
      <c r="G256" s="6" t="s">
        <v>2983</v>
      </c>
      <c r="H256" s="6" t="s">
        <v>226</v>
      </c>
      <c r="I256" s="6" t="s">
        <v>2171</v>
      </c>
      <c r="J256" s="6" t="s">
        <v>2984</v>
      </c>
      <c r="K256" s="7" t="n">
        <v>45412</v>
      </c>
      <c r="L256" s="6" t="s">
        <v>68</v>
      </c>
      <c r="M256" s="7"/>
      <c r="N256" s="8" t="n">
        <f aca="false">IF(M256&lt;&gt;"",M256-Summary!$C$3,IF(K256="","",K256-Summary!$C$3))</f>
        <v>-893</v>
      </c>
      <c r="O256" s="6" t="s">
        <v>8</v>
      </c>
      <c r="P256" s="6" t="s">
        <v>2985</v>
      </c>
      <c r="Q256" s="6" t="s">
        <v>110</v>
      </c>
      <c r="R256" s="6" t="s">
        <v>2986</v>
      </c>
      <c r="S256" s="6" t="s">
        <v>2987</v>
      </c>
      <c r="T256" s="6" t="s">
        <v>89</v>
      </c>
      <c r="U256" s="6" t="s">
        <v>2988</v>
      </c>
      <c r="V256" s="6" t="s">
        <v>2989</v>
      </c>
      <c r="W256" s="6" t="s">
        <v>2990</v>
      </c>
      <c r="X256" s="6" t="s">
        <v>2991</v>
      </c>
      <c r="Y256" s="6" t="s">
        <v>2992</v>
      </c>
      <c r="Z256" s="6" t="s">
        <v>79</v>
      </c>
      <c r="AA256" s="6" t="s">
        <v>80</v>
      </c>
    </row>
    <row r="257" customFormat="false" ht="53.7" hidden="false" customHeight="false" outlineLevel="0" collapsed="false">
      <c r="A257" s="6" t="s">
        <v>654</v>
      </c>
      <c r="B257" s="6" t="s">
        <v>667</v>
      </c>
      <c r="C257" s="6" t="s">
        <v>2981</v>
      </c>
      <c r="D257" s="6" t="s">
        <v>2993</v>
      </c>
      <c r="E257" s="6" t="s">
        <v>19</v>
      </c>
      <c r="F257" s="6" t="s">
        <v>224</v>
      </c>
      <c r="G257" s="6" t="s">
        <v>1250</v>
      </c>
      <c r="H257" s="6" t="s">
        <v>65</v>
      </c>
      <c r="I257" s="6" t="s">
        <v>2994</v>
      </c>
      <c r="J257" s="6" t="s">
        <v>2995</v>
      </c>
      <c r="K257" s="7" t="n">
        <v>45504</v>
      </c>
      <c r="L257" s="6" t="s">
        <v>68</v>
      </c>
      <c r="M257" s="7"/>
      <c r="N257" s="8" t="n">
        <f aca="false">IF(M257&lt;&gt;"",M257-Summary!$C$3,IF(K257="","",K257-Summary!$C$3))</f>
        <v>-801</v>
      </c>
      <c r="O257" s="6" t="s">
        <v>8</v>
      </c>
      <c r="P257" s="6" t="s">
        <v>2340</v>
      </c>
      <c r="Q257" s="6" t="s">
        <v>2996</v>
      </c>
      <c r="R257" s="6" t="s">
        <v>2997</v>
      </c>
      <c r="S257" s="6" t="s">
        <v>2998</v>
      </c>
      <c r="T257" s="6" t="s">
        <v>2999</v>
      </c>
      <c r="U257" s="6" t="s">
        <v>3000</v>
      </c>
      <c r="V257" s="6" t="s">
        <v>3001</v>
      </c>
      <c r="W257" s="6" t="s">
        <v>3002</v>
      </c>
      <c r="X257" s="6" t="s">
        <v>3003</v>
      </c>
      <c r="Y257" s="6" t="s">
        <v>3004</v>
      </c>
      <c r="Z257" s="6" t="s">
        <v>128</v>
      </c>
      <c r="AA257" s="6" t="s">
        <v>80</v>
      </c>
    </row>
    <row r="258" customFormat="false" ht="64.15" hidden="false" customHeight="false" outlineLevel="0" collapsed="false">
      <c r="A258" s="6" t="s">
        <v>654</v>
      </c>
      <c r="B258" s="6" t="s">
        <v>667</v>
      </c>
      <c r="C258" s="6" t="s">
        <v>2247</v>
      </c>
      <c r="D258" s="6" t="s">
        <v>3005</v>
      </c>
      <c r="E258" s="6" t="s">
        <v>19</v>
      </c>
      <c r="F258" s="6" t="s">
        <v>147</v>
      </c>
      <c r="G258" s="6" t="s">
        <v>658</v>
      </c>
      <c r="H258" s="6" t="s">
        <v>568</v>
      </c>
      <c r="I258" s="6" t="s">
        <v>2122</v>
      </c>
      <c r="J258" s="6" t="s">
        <v>2123</v>
      </c>
      <c r="K258" s="7" t="n">
        <v>45930</v>
      </c>
      <c r="L258" s="6" t="s">
        <v>68</v>
      </c>
      <c r="M258" s="7"/>
      <c r="N258" s="8" t="n">
        <f aca="false">IF(M258&lt;&gt;"",M258-Summary!$C$3,IF(K258="","",K258-Summary!$C$3))</f>
        <v>-375</v>
      </c>
      <c r="O258" s="6" t="s">
        <v>8</v>
      </c>
      <c r="P258" s="6" t="s">
        <v>69</v>
      </c>
      <c r="Q258" s="6" t="s">
        <v>3006</v>
      </c>
      <c r="R258" s="6" t="s">
        <v>3007</v>
      </c>
      <c r="S258" s="6" t="s">
        <v>3008</v>
      </c>
      <c r="T258" s="6" t="s">
        <v>3009</v>
      </c>
      <c r="U258" s="6" t="s">
        <v>3010</v>
      </c>
      <c r="V258" s="6" t="s">
        <v>3011</v>
      </c>
      <c r="W258" s="6" t="s">
        <v>3012</v>
      </c>
      <c r="X258" s="6" t="s">
        <v>3013</v>
      </c>
      <c r="Y258" s="6" t="s">
        <v>3014</v>
      </c>
      <c r="Z258" s="6" t="s">
        <v>79</v>
      </c>
      <c r="AA258" s="6" t="s">
        <v>80</v>
      </c>
    </row>
    <row r="259" customFormat="false" ht="74.6" hidden="false" customHeight="false" outlineLevel="0" collapsed="false">
      <c r="A259" s="6" t="s">
        <v>654</v>
      </c>
      <c r="B259" s="6" t="s">
        <v>667</v>
      </c>
      <c r="C259" s="6" t="s">
        <v>634</v>
      </c>
      <c r="D259" s="6" t="s">
        <v>3015</v>
      </c>
      <c r="E259" s="6" t="s">
        <v>17</v>
      </c>
      <c r="F259" s="6" t="s">
        <v>162</v>
      </c>
      <c r="G259" s="6" t="s">
        <v>682</v>
      </c>
      <c r="H259" s="6" t="s">
        <v>226</v>
      </c>
      <c r="I259" s="6" t="s">
        <v>3016</v>
      </c>
      <c r="J259" s="6" t="s">
        <v>200</v>
      </c>
      <c r="K259" s="7" t="n">
        <v>46204</v>
      </c>
      <c r="L259" s="6" t="s">
        <v>68</v>
      </c>
      <c r="M259" s="7"/>
      <c r="N259" s="8" t="n">
        <f aca="false">IF(M259&lt;&gt;"",M259-Summary!$C$3,IF(K259="","",K259-Summary!$C$3))</f>
        <v>-101</v>
      </c>
      <c r="O259" s="6" t="s">
        <v>8</v>
      </c>
      <c r="P259" s="6" t="s">
        <v>3017</v>
      </c>
      <c r="Q259" s="6" t="s">
        <v>3018</v>
      </c>
      <c r="R259" s="6" t="s">
        <v>3019</v>
      </c>
      <c r="S259" s="6" t="s">
        <v>3020</v>
      </c>
      <c r="T259" s="6" t="s">
        <v>3021</v>
      </c>
      <c r="U259" s="6" t="s">
        <v>3022</v>
      </c>
      <c r="V259" s="6" t="s">
        <v>3023</v>
      </c>
      <c r="W259" s="6" t="s">
        <v>3024</v>
      </c>
      <c r="X259" s="6" t="s">
        <v>3025</v>
      </c>
      <c r="Y259" s="6" t="s">
        <v>3026</v>
      </c>
      <c r="Z259" s="6" t="s">
        <v>128</v>
      </c>
      <c r="AA259" s="6" t="s">
        <v>80</v>
      </c>
    </row>
    <row r="260" customFormat="false" ht="43.25" hidden="false" customHeight="false" outlineLevel="0" collapsed="false">
      <c r="A260" s="6" t="s">
        <v>654</v>
      </c>
      <c r="B260" s="6" t="s">
        <v>667</v>
      </c>
      <c r="C260" s="6" t="s">
        <v>3027</v>
      </c>
      <c r="D260" s="6" t="s">
        <v>3028</v>
      </c>
      <c r="E260" s="6" t="s">
        <v>17</v>
      </c>
      <c r="F260" s="6" t="s">
        <v>162</v>
      </c>
      <c r="G260" s="6" t="s">
        <v>682</v>
      </c>
      <c r="H260" s="6" t="s">
        <v>226</v>
      </c>
      <c r="I260" s="6" t="s">
        <v>1507</v>
      </c>
      <c r="J260" s="6" t="s">
        <v>200</v>
      </c>
      <c r="K260" s="7" t="n">
        <v>46204</v>
      </c>
      <c r="L260" s="6" t="s">
        <v>68</v>
      </c>
      <c r="M260" s="7"/>
      <c r="N260" s="8" t="n">
        <f aca="false">IF(M260&lt;&gt;"",M260-Summary!$C$3,IF(K260="","",K260-Summary!$C$3))</f>
        <v>-101</v>
      </c>
      <c r="O260" s="6" t="s">
        <v>8</v>
      </c>
      <c r="P260" s="6" t="s">
        <v>698</v>
      </c>
      <c r="Q260" s="6" t="s">
        <v>110</v>
      </c>
      <c r="R260" s="6" t="s">
        <v>89</v>
      </c>
      <c r="S260" s="6" t="s">
        <v>3029</v>
      </c>
      <c r="T260" s="6" t="s">
        <v>89</v>
      </c>
      <c r="U260" s="6" t="s">
        <v>3030</v>
      </c>
      <c r="V260" s="6" t="s">
        <v>89</v>
      </c>
      <c r="W260" s="6" t="s">
        <v>89</v>
      </c>
      <c r="X260" s="6" t="s">
        <v>89</v>
      </c>
      <c r="Y260" s="6" t="s">
        <v>3031</v>
      </c>
      <c r="Z260" s="6" t="s">
        <v>79</v>
      </c>
      <c r="AA260" s="6" t="s">
        <v>80</v>
      </c>
    </row>
    <row r="261" customFormat="false" ht="53.7" hidden="false" customHeight="false" outlineLevel="0" collapsed="false">
      <c r="A261" s="6" t="s">
        <v>654</v>
      </c>
      <c r="B261" s="6" t="s">
        <v>667</v>
      </c>
      <c r="C261" s="6" t="s">
        <v>3032</v>
      </c>
      <c r="D261" s="6" t="s">
        <v>3033</v>
      </c>
      <c r="E261" s="6" t="s">
        <v>18</v>
      </c>
      <c r="F261" s="6" t="s">
        <v>147</v>
      </c>
      <c r="G261" s="6" t="s">
        <v>2949</v>
      </c>
      <c r="H261" s="6" t="s">
        <v>65</v>
      </c>
      <c r="I261" s="6" t="s">
        <v>3034</v>
      </c>
      <c r="J261" s="6" t="s">
        <v>334</v>
      </c>
      <c r="K261" s="7" t="n">
        <v>46660</v>
      </c>
      <c r="L261" s="6" t="s">
        <v>68</v>
      </c>
      <c r="M261" s="7"/>
      <c r="N261" s="8" t="n">
        <f aca="false">IF(M261&lt;&gt;"",M261-Summary!$C$3,IF(K261="","",K261-Summary!$C$3))</f>
        <v>355</v>
      </c>
      <c r="O261" s="6" t="s">
        <v>8</v>
      </c>
      <c r="P261" s="6" t="s">
        <v>89</v>
      </c>
      <c r="Q261" s="6" t="s">
        <v>89</v>
      </c>
      <c r="R261" s="6" t="s">
        <v>89</v>
      </c>
      <c r="S261" s="6" t="s">
        <v>3035</v>
      </c>
      <c r="T261" s="6" t="s">
        <v>89</v>
      </c>
      <c r="U261" s="6" t="s">
        <v>3036</v>
      </c>
      <c r="V261" s="6" t="s">
        <v>89</v>
      </c>
      <c r="W261" s="6" t="s">
        <v>89</v>
      </c>
      <c r="X261" s="6" t="s">
        <v>3037</v>
      </c>
      <c r="Y261" s="6" t="s">
        <v>3038</v>
      </c>
      <c r="Z261" s="6" t="s">
        <v>128</v>
      </c>
      <c r="AA261" s="6" t="s">
        <v>80</v>
      </c>
    </row>
    <row r="262" customFormat="false" ht="43.25" hidden="false" customHeight="false" outlineLevel="0" collapsed="false">
      <c r="A262" s="6" t="s">
        <v>849</v>
      </c>
      <c r="B262" s="6" t="s">
        <v>850</v>
      </c>
      <c r="C262" s="6" t="s">
        <v>3039</v>
      </c>
      <c r="D262" s="6" t="s">
        <v>3040</v>
      </c>
      <c r="E262" s="6" t="s">
        <v>17</v>
      </c>
      <c r="F262" s="6" t="s">
        <v>3041</v>
      </c>
      <c r="G262" s="6" t="s">
        <v>3042</v>
      </c>
      <c r="H262" s="6" t="s">
        <v>568</v>
      </c>
      <c r="I262" s="6" t="s">
        <v>3043</v>
      </c>
      <c r="J262" s="6" t="s">
        <v>3044</v>
      </c>
      <c r="K262" s="7" t="n">
        <v>44895</v>
      </c>
      <c r="L262" s="6" t="s">
        <v>68</v>
      </c>
      <c r="M262" s="7"/>
      <c r="N262" s="8" t="n">
        <f aca="false">IF(M262&lt;&gt;"",M262-Summary!$C$3,IF(K262="","",K262-Summary!$C$3))</f>
        <v>-1410</v>
      </c>
      <c r="O262" s="6" t="s">
        <v>8</v>
      </c>
      <c r="P262" s="6" t="s">
        <v>3045</v>
      </c>
      <c r="Q262" s="6" t="s">
        <v>134</v>
      </c>
      <c r="R262" s="6" t="s">
        <v>3046</v>
      </c>
      <c r="S262" s="6" t="s">
        <v>3047</v>
      </c>
      <c r="T262" s="6" t="s">
        <v>89</v>
      </c>
      <c r="U262" s="6" t="s">
        <v>3048</v>
      </c>
      <c r="V262" s="6" t="s">
        <v>89</v>
      </c>
      <c r="W262" s="6" t="s">
        <v>89</v>
      </c>
      <c r="X262" s="6" t="s">
        <v>3049</v>
      </c>
      <c r="Y262" s="6" t="s">
        <v>3050</v>
      </c>
      <c r="Z262" s="6" t="s">
        <v>128</v>
      </c>
      <c r="AA262" s="6" t="s">
        <v>194</v>
      </c>
    </row>
    <row r="263" customFormat="false" ht="53.7" hidden="false" customHeight="false" outlineLevel="0" collapsed="false">
      <c r="A263" s="6" t="s">
        <v>1021</v>
      </c>
      <c r="B263" s="6" t="s">
        <v>1021</v>
      </c>
      <c r="C263" s="6" t="s">
        <v>2023</v>
      </c>
      <c r="D263" s="6" t="s">
        <v>3051</v>
      </c>
      <c r="E263" s="6" t="s">
        <v>22</v>
      </c>
      <c r="F263" s="6" t="s">
        <v>3052</v>
      </c>
      <c r="G263" s="6" t="s">
        <v>3053</v>
      </c>
      <c r="H263" s="6" t="s">
        <v>344</v>
      </c>
      <c r="I263" s="6" t="s">
        <v>3054</v>
      </c>
      <c r="J263" s="6" t="s">
        <v>89</v>
      </c>
      <c r="K263" s="7"/>
      <c r="L263" s="6" t="s">
        <v>88</v>
      </c>
      <c r="M263" s="7"/>
      <c r="N263" s="8" t="str">
        <f aca="false">IF(M263&lt;&gt;"",M263-Summary!$C$3,IF(K263="","",K263-Summary!$C$3))</f>
        <v/>
      </c>
      <c r="O263" s="6" t="s">
        <v>8</v>
      </c>
      <c r="P263" s="6" t="s">
        <v>89</v>
      </c>
      <c r="Q263" s="6" t="s">
        <v>89</v>
      </c>
      <c r="R263" s="6" t="s">
        <v>89</v>
      </c>
      <c r="S263" s="6" t="s">
        <v>3055</v>
      </c>
      <c r="T263" s="6" t="s">
        <v>89</v>
      </c>
      <c r="U263" s="6" t="s">
        <v>3056</v>
      </c>
      <c r="V263" s="6" t="s">
        <v>3057</v>
      </c>
      <c r="W263" s="6" t="s">
        <v>2009</v>
      </c>
      <c r="X263" s="6" t="s">
        <v>3058</v>
      </c>
      <c r="Y263" s="6" t="s">
        <v>3059</v>
      </c>
      <c r="Z263" s="6" t="s">
        <v>128</v>
      </c>
      <c r="AA263" s="6" t="s">
        <v>80</v>
      </c>
    </row>
    <row r="264" customFormat="false" ht="64.15" hidden="false" customHeight="false" outlineLevel="0" collapsed="false">
      <c r="A264" s="6" t="s">
        <v>1021</v>
      </c>
      <c r="B264" s="6" t="s">
        <v>1022</v>
      </c>
      <c r="C264" s="6" t="s">
        <v>3060</v>
      </c>
      <c r="D264" s="6" t="s">
        <v>3061</v>
      </c>
      <c r="E264" s="6" t="s">
        <v>17</v>
      </c>
      <c r="F264" s="6" t="s">
        <v>147</v>
      </c>
      <c r="G264" s="6" t="s">
        <v>1069</v>
      </c>
      <c r="H264" s="6" t="s">
        <v>3062</v>
      </c>
      <c r="I264" s="6" t="s">
        <v>610</v>
      </c>
      <c r="J264" s="6" t="s">
        <v>3063</v>
      </c>
      <c r="K264" s="7" t="n">
        <v>45504</v>
      </c>
      <c r="L264" s="6" t="s">
        <v>68</v>
      </c>
      <c r="M264" s="7"/>
      <c r="N264" s="8" t="n">
        <f aca="false">IF(M264&lt;&gt;"",M264-Summary!$C$3,IF(K264="","",K264-Summary!$C$3))</f>
        <v>-801</v>
      </c>
      <c r="O264" s="6" t="s">
        <v>8</v>
      </c>
      <c r="P264" s="6" t="s">
        <v>3064</v>
      </c>
      <c r="Q264" s="6" t="s">
        <v>89</v>
      </c>
      <c r="R264" s="6" t="s">
        <v>89</v>
      </c>
      <c r="S264" s="6" t="s">
        <v>3065</v>
      </c>
      <c r="T264" s="6" t="s">
        <v>89</v>
      </c>
      <c r="U264" s="6" t="s">
        <v>89</v>
      </c>
      <c r="V264" s="6" t="s">
        <v>89</v>
      </c>
      <c r="W264" s="6" t="s">
        <v>89</v>
      </c>
      <c r="X264" s="6" t="s">
        <v>89</v>
      </c>
      <c r="Y264" s="6" t="s">
        <v>3066</v>
      </c>
      <c r="Z264" s="6" t="s">
        <v>79</v>
      </c>
      <c r="AA264" s="6" t="s">
        <v>80</v>
      </c>
    </row>
    <row r="265" customFormat="false" ht="43.25" hidden="false" customHeight="false" outlineLevel="0" collapsed="false">
      <c r="A265" s="6" t="s">
        <v>1021</v>
      </c>
      <c r="B265" s="6" t="s">
        <v>1022</v>
      </c>
      <c r="C265" s="6" t="s">
        <v>3060</v>
      </c>
      <c r="D265" s="6" t="s">
        <v>3067</v>
      </c>
      <c r="E265" s="6" t="s">
        <v>17</v>
      </c>
      <c r="F265" s="6" t="s">
        <v>427</v>
      </c>
      <c r="G265" s="6" t="s">
        <v>1069</v>
      </c>
      <c r="H265" s="6" t="s">
        <v>3068</v>
      </c>
      <c r="I265" s="6" t="s">
        <v>610</v>
      </c>
      <c r="J265" s="6" t="s">
        <v>3069</v>
      </c>
      <c r="K265" s="7" t="n">
        <v>45504</v>
      </c>
      <c r="L265" s="6" t="s">
        <v>68</v>
      </c>
      <c r="M265" s="7"/>
      <c r="N265" s="8" t="n">
        <f aca="false">IF(M265&lt;&gt;"",M265-Summary!$C$3,IF(K265="","",K265-Summary!$C$3))</f>
        <v>-801</v>
      </c>
      <c r="O265" s="6" t="s">
        <v>8</v>
      </c>
      <c r="P265" s="6" t="s">
        <v>3070</v>
      </c>
      <c r="Q265" s="6" t="s">
        <v>89</v>
      </c>
      <c r="R265" s="6" t="s">
        <v>89</v>
      </c>
      <c r="S265" s="6" t="s">
        <v>3071</v>
      </c>
      <c r="T265" s="6" t="s">
        <v>89</v>
      </c>
      <c r="U265" s="6" t="s">
        <v>89</v>
      </c>
      <c r="V265" s="6" t="s">
        <v>89</v>
      </c>
      <c r="W265" s="6" t="s">
        <v>89</v>
      </c>
      <c r="X265" s="6" t="s">
        <v>89</v>
      </c>
      <c r="Y265" s="6" t="s">
        <v>3072</v>
      </c>
      <c r="Z265" s="6" t="s">
        <v>79</v>
      </c>
      <c r="AA265" s="6" t="s">
        <v>80</v>
      </c>
    </row>
    <row r="266" customFormat="false" ht="53.7" hidden="false" customHeight="false" outlineLevel="0" collapsed="false">
      <c r="A266" s="6" t="s">
        <v>1021</v>
      </c>
      <c r="B266" s="6" t="s">
        <v>1022</v>
      </c>
      <c r="C266" s="6" t="s">
        <v>3060</v>
      </c>
      <c r="D266" s="6" t="s">
        <v>3073</v>
      </c>
      <c r="E266" s="6" t="s">
        <v>19</v>
      </c>
      <c r="F266" s="6" t="s">
        <v>147</v>
      </c>
      <c r="G266" s="6" t="s">
        <v>3074</v>
      </c>
      <c r="H266" s="6" t="s">
        <v>568</v>
      </c>
      <c r="I266" s="6" t="s">
        <v>2994</v>
      </c>
      <c r="J266" s="6" t="s">
        <v>3075</v>
      </c>
      <c r="K266" s="7" t="n">
        <v>45504</v>
      </c>
      <c r="L266" s="6" t="s">
        <v>68</v>
      </c>
      <c r="M266" s="7"/>
      <c r="N266" s="8" t="n">
        <f aca="false">IF(M266&lt;&gt;"",M266-Summary!$C$3,IF(K266="","",K266-Summary!$C$3))</f>
        <v>-801</v>
      </c>
      <c r="O266" s="6" t="s">
        <v>8</v>
      </c>
      <c r="P266" s="6" t="s">
        <v>69</v>
      </c>
      <c r="Q266" s="6" t="s">
        <v>3076</v>
      </c>
      <c r="R266" s="6" t="s">
        <v>326</v>
      </c>
      <c r="S266" s="6" t="s">
        <v>3077</v>
      </c>
      <c r="T266" s="6" t="s">
        <v>3078</v>
      </c>
      <c r="U266" s="6" t="s">
        <v>3079</v>
      </c>
      <c r="V266" s="6" t="s">
        <v>3080</v>
      </c>
      <c r="W266" s="6" t="s">
        <v>3081</v>
      </c>
      <c r="X266" s="6" t="s">
        <v>3082</v>
      </c>
      <c r="Y266" s="6" t="s">
        <v>3083</v>
      </c>
      <c r="Z266" s="6" t="s">
        <v>128</v>
      </c>
      <c r="AA266" s="6" t="s">
        <v>194</v>
      </c>
    </row>
    <row r="267" customFormat="false" ht="53.7" hidden="false" customHeight="false" outlineLevel="0" collapsed="false">
      <c r="A267" s="6" t="s">
        <v>1021</v>
      </c>
      <c r="B267" s="6" t="s">
        <v>3084</v>
      </c>
      <c r="C267" s="6" t="s">
        <v>3085</v>
      </c>
      <c r="D267" s="6" t="s">
        <v>3086</v>
      </c>
      <c r="E267" s="6" t="s">
        <v>24</v>
      </c>
      <c r="F267" s="6" t="s">
        <v>1053</v>
      </c>
      <c r="G267" s="6" t="s">
        <v>122</v>
      </c>
      <c r="H267" s="6" t="s">
        <v>65</v>
      </c>
      <c r="I267" s="6" t="s">
        <v>3087</v>
      </c>
      <c r="J267" s="6" t="s">
        <v>3088</v>
      </c>
      <c r="K267" s="7" t="n">
        <v>45747</v>
      </c>
      <c r="L267" s="6" t="s">
        <v>68</v>
      </c>
      <c r="M267" s="7"/>
      <c r="N267" s="8" t="n">
        <f aca="false">IF(M267&lt;&gt;"",M267-Summary!$C$3,IF(K267="","",K267-Summary!$C$3))</f>
        <v>-558</v>
      </c>
      <c r="O267" s="6" t="s">
        <v>8</v>
      </c>
      <c r="P267" s="6" t="s">
        <v>69</v>
      </c>
      <c r="Q267" s="6" t="s">
        <v>134</v>
      </c>
      <c r="R267" s="6" t="s">
        <v>3089</v>
      </c>
      <c r="S267" s="6" t="s">
        <v>3090</v>
      </c>
      <c r="T267" s="6" t="s">
        <v>89</v>
      </c>
      <c r="U267" s="6" t="s">
        <v>3091</v>
      </c>
      <c r="V267" s="6" t="s">
        <v>216</v>
      </c>
      <c r="W267" s="6" t="s">
        <v>3092</v>
      </c>
      <c r="X267" s="6" t="s">
        <v>3093</v>
      </c>
      <c r="Y267" s="6" t="s">
        <v>3094</v>
      </c>
      <c r="Z267" s="6" t="s">
        <v>79</v>
      </c>
      <c r="AA267" s="6" t="s">
        <v>80</v>
      </c>
    </row>
    <row r="268" customFormat="false" ht="53.7" hidden="false" customHeight="false" outlineLevel="0" collapsed="false">
      <c r="A268" s="6" t="s">
        <v>1021</v>
      </c>
      <c r="B268" s="6" t="s">
        <v>1022</v>
      </c>
      <c r="C268" s="6" t="s">
        <v>3060</v>
      </c>
      <c r="D268" s="6" t="s">
        <v>3095</v>
      </c>
      <c r="E268" s="6" t="s">
        <v>18</v>
      </c>
      <c r="F268" s="6" t="s">
        <v>147</v>
      </c>
      <c r="G268" s="6" t="s">
        <v>3096</v>
      </c>
      <c r="H268" s="6" t="s">
        <v>3097</v>
      </c>
      <c r="I268" s="6" t="s">
        <v>1313</v>
      </c>
      <c r="J268" s="6" t="s">
        <v>3098</v>
      </c>
      <c r="K268" s="7" t="n">
        <v>45869</v>
      </c>
      <c r="L268" s="6" t="s">
        <v>68</v>
      </c>
      <c r="M268" s="7"/>
      <c r="N268" s="8" t="n">
        <f aca="false">IF(M268&lt;&gt;"",M268-Summary!$C$3,IF(K268="","",K268-Summary!$C$3))</f>
        <v>-436</v>
      </c>
      <c r="O268" s="6" t="s">
        <v>8</v>
      </c>
      <c r="P268" s="6" t="s">
        <v>3099</v>
      </c>
      <c r="Q268" s="6" t="s">
        <v>3100</v>
      </c>
      <c r="R268" s="6" t="s">
        <v>89</v>
      </c>
      <c r="S268" s="6" t="s">
        <v>3101</v>
      </c>
      <c r="T268" s="6" t="s">
        <v>89</v>
      </c>
      <c r="U268" s="6" t="s">
        <v>89</v>
      </c>
      <c r="V268" s="6" t="s">
        <v>89</v>
      </c>
      <c r="W268" s="6" t="s">
        <v>89</v>
      </c>
      <c r="X268" s="6" t="s">
        <v>89</v>
      </c>
      <c r="Y268" s="6" t="s">
        <v>3102</v>
      </c>
      <c r="Z268" s="6" t="s">
        <v>79</v>
      </c>
      <c r="AA268" s="6" t="s">
        <v>80</v>
      </c>
    </row>
    <row r="269" customFormat="false" ht="43.25" hidden="false" customHeight="false" outlineLevel="0" collapsed="false">
      <c r="A269" s="6" t="s">
        <v>1260</v>
      </c>
      <c r="B269" s="6" t="s">
        <v>1261</v>
      </c>
      <c r="C269" s="6" t="s">
        <v>3103</v>
      </c>
      <c r="D269" s="6" t="s">
        <v>3104</v>
      </c>
      <c r="E269" s="6" t="s">
        <v>21</v>
      </c>
      <c r="F269" s="6" t="s">
        <v>147</v>
      </c>
      <c r="G269" s="6" t="s">
        <v>122</v>
      </c>
      <c r="H269" s="6" t="s">
        <v>568</v>
      </c>
      <c r="I269" s="6" t="s">
        <v>3105</v>
      </c>
      <c r="J269" s="6" t="s">
        <v>3106</v>
      </c>
      <c r="K269" s="7" t="n">
        <v>44834</v>
      </c>
      <c r="L269" s="6" t="s">
        <v>68</v>
      </c>
      <c r="M269" s="7"/>
      <c r="N269" s="8" t="n">
        <f aca="false">IF(M269&lt;&gt;"",M269-Summary!$C$3,IF(K269="","",K269-Summary!$C$3))</f>
        <v>-1471</v>
      </c>
      <c r="O269" s="6" t="s">
        <v>8</v>
      </c>
      <c r="P269" s="6" t="s">
        <v>69</v>
      </c>
      <c r="Q269" s="6" t="s">
        <v>3107</v>
      </c>
      <c r="R269" s="6" t="s">
        <v>3108</v>
      </c>
      <c r="S269" s="6" t="s">
        <v>3109</v>
      </c>
      <c r="T269" s="6" t="s">
        <v>3110</v>
      </c>
      <c r="U269" s="6" t="s">
        <v>89</v>
      </c>
      <c r="V269" s="6" t="s">
        <v>3111</v>
      </c>
      <c r="W269" s="6" t="s">
        <v>3112</v>
      </c>
      <c r="X269" s="6" t="s">
        <v>3113</v>
      </c>
      <c r="Y269" s="6" t="s">
        <v>3114</v>
      </c>
      <c r="Z269" s="6" t="s">
        <v>128</v>
      </c>
      <c r="AA269" s="6" t="s">
        <v>194</v>
      </c>
    </row>
    <row r="270" customFormat="false" ht="43.25" hidden="false" customHeight="false" outlineLevel="0" collapsed="false">
      <c r="A270" s="6" t="s">
        <v>2035</v>
      </c>
      <c r="B270" s="6" t="s">
        <v>221</v>
      </c>
      <c r="C270" s="6" t="s">
        <v>3115</v>
      </c>
      <c r="D270" s="6" t="s">
        <v>3116</v>
      </c>
      <c r="E270" s="6" t="s">
        <v>19</v>
      </c>
      <c r="F270" s="6" t="s">
        <v>224</v>
      </c>
      <c r="G270" s="6" t="s">
        <v>225</v>
      </c>
      <c r="H270" s="6" t="s">
        <v>65</v>
      </c>
      <c r="I270" s="6" t="s">
        <v>3117</v>
      </c>
      <c r="J270" s="6" t="s">
        <v>3118</v>
      </c>
      <c r="K270" s="7" t="n">
        <v>46068</v>
      </c>
      <c r="L270" s="6" t="s">
        <v>68</v>
      </c>
      <c r="M270" s="7"/>
      <c r="N270" s="8" t="n">
        <f aca="false">IF(M270&lt;&gt;"",M270-Summary!$C$3,IF(K270="","",K270-Summary!$C$3))</f>
        <v>-237</v>
      </c>
      <c r="O270" s="6" t="s">
        <v>8</v>
      </c>
      <c r="P270" s="6" t="s">
        <v>69</v>
      </c>
      <c r="Q270" s="6" t="s">
        <v>3119</v>
      </c>
      <c r="R270" s="6" t="s">
        <v>3120</v>
      </c>
      <c r="S270" s="6" t="s">
        <v>3121</v>
      </c>
      <c r="T270" s="6" t="s">
        <v>3122</v>
      </c>
      <c r="U270" s="6" t="s">
        <v>3123</v>
      </c>
      <c r="V270" s="6" t="s">
        <v>3124</v>
      </c>
      <c r="W270" s="6" t="s">
        <v>3125</v>
      </c>
      <c r="X270" s="6" t="s">
        <v>3126</v>
      </c>
      <c r="Y270" s="6" t="s">
        <v>3127</v>
      </c>
      <c r="Z270" s="6" t="s">
        <v>79</v>
      </c>
      <c r="AA270" s="6" t="s">
        <v>80</v>
      </c>
    </row>
    <row r="271" customFormat="false" ht="32.8" hidden="false" customHeight="false" outlineLevel="0" collapsed="false">
      <c r="A271" s="6" t="s">
        <v>1458</v>
      </c>
      <c r="B271" s="6" t="s">
        <v>3128</v>
      </c>
      <c r="C271" s="6" t="s">
        <v>3129</v>
      </c>
      <c r="D271" s="6" t="s">
        <v>2704</v>
      </c>
      <c r="E271" s="6" t="s">
        <v>21</v>
      </c>
      <c r="F271" s="6" t="s">
        <v>1655</v>
      </c>
      <c r="G271" s="6" t="s">
        <v>122</v>
      </c>
      <c r="H271" s="6" t="s">
        <v>1082</v>
      </c>
      <c r="I271" s="6" t="s">
        <v>2706</v>
      </c>
      <c r="J271" s="6" t="s">
        <v>3130</v>
      </c>
      <c r="K271" s="7" t="n">
        <v>43762</v>
      </c>
      <c r="L271" s="6" t="s">
        <v>68</v>
      </c>
      <c r="M271" s="7"/>
      <c r="N271" s="8" t="n">
        <f aca="false">IF(M271&lt;&gt;"",M271-Summary!$C$3,IF(K271="","",K271-Summary!$C$3))</f>
        <v>-2543</v>
      </c>
      <c r="O271" s="6" t="s">
        <v>8</v>
      </c>
      <c r="P271" s="6" t="s">
        <v>69</v>
      </c>
      <c r="Q271" s="6" t="s">
        <v>3131</v>
      </c>
      <c r="R271" s="6" t="s">
        <v>2089</v>
      </c>
      <c r="S271" s="6" t="s">
        <v>3132</v>
      </c>
      <c r="T271" s="6" t="s">
        <v>2710</v>
      </c>
      <c r="U271" s="6" t="s">
        <v>110</v>
      </c>
      <c r="V271" s="6" t="s">
        <v>3133</v>
      </c>
      <c r="W271" s="6" t="s">
        <v>3134</v>
      </c>
      <c r="X271" s="6" t="s">
        <v>3135</v>
      </c>
      <c r="Y271" s="6" t="s">
        <v>3136</v>
      </c>
      <c r="Z271" s="6" t="s">
        <v>128</v>
      </c>
      <c r="AA271" s="6" t="s">
        <v>194</v>
      </c>
    </row>
    <row r="272" customFormat="false" ht="43.25" hidden="false" customHeight="false" outlineLevel="0" collapsed="false">
      <c r="A272" s="6" t="s">
        <v>3137</v>
      </c>
      <c r="B272" s="6" t="s">
        <v>3138</v>
      </c>
      <c r="C272" s="6" t="s">
        <v>3139</v>
      </c>
      <c r="D272" s="6" t="s">
        <v>3140</v>
      </c>
      <c r="E272" s="6" t="s">
        <v>21</v>
      </c>
      <c r="F272" s="6" t="s">
        <v>162</v>
      </c>
      <c r="G272" s="6" t="s">
        <v>3141</v>
      </c>
      <c r="H272" s="6" t="s">
        <v>65</v>
      </c>
      <c r="I272" s="6" t="s">
        <v>3142</v>
      </c>
      <c r="J272" s="6" t="s">
        <v>3143</v>
      </c>
      <c r="K272" s="7" t="n">
        <v>45565</v>
      </c>
      <c r="L272" s="6" t="s">
        <v>68</v>
      </c>
      <c r="M272" s="7"/>
      <c r="N272" s="8" t="n">
        <f aca="false">IF(M272&lt;&gt;"",M272-Summary!$C$3,IF(K272="","",K272-Summary!$C$3))</f>
        <v>-740</v>
      </c>
      <c r="O272" s="6" t="s">
        <v>8</v>
      </c>
      <c r="P272" s="6" t="s">
        <v>186</v>
      </c>
      <c r="Q272" s="6" t="s">
        <v>3144</v>
      </c>
      <c r="R272" s="6" t="s">
        <v>3145</v>
      </c>
      <c r="S272" s="6" t="s">
        <v>3146</v>
      </c>
      <c r="T272" s="6" t="s">
        <v>3147</v>
      </c>
      <c r="U272" s="6" t="s">
        <v>89</v>
      </c>
      <c r="V272" s="6" t="s">
        <v>3148</v>
      </c>
      <c r="W272" s="6" t="s">
        <v>3149</v>
      </c>
      <c r="X272" s="6" t="s">
        <v>3150</v>
      </c>
      <c r="Y272" s="6" t="s">
        <v>3151</v>
      </c>
      <c r="Z272" s="6" t="s">
        <v>79</v>
      </c>
      <c r="AA272" s="6" t="s">
        <v>194</v>
      </c>
    </row>
    <row r="273" customFormat="false" ht="53.7" hidden="false" customHeight="false" outlineLevel="0" collapsed="false">
      <c r="A273" s="6" t="s">
        <v>1552</v>
      </c>
      <c r="B273" s="6" t="s">
        <v>1553</v>
      </c>
      <c r="C273" s="6" t="s">
        <v>3152</v>
      </c>
      <c r="D273" s="6" t="s">
        <v>3153</v>
      </c>
      <c r="E273" s="6" t="s">
        <v>19</v>
      </c>
      <c r="F273" s="6" t="s">
        <v>84</v>
      </c>
      <c r="G273" s="6" t="s">
        <v>3154</v>
      </c>
      <c r="H273" s="6" t="s">
        <v>568</v>
      </c>
      <c r="I273" s="6" t="s">
        <v>2352</v>
      </c>
      <c r="J273" s="6" t="s">
        <v>3155</v>
      </c>
      <c r="K273" s="7" t="n">
        <v>45365</v>
      </c>
      <c r="L273" s="6" t="s">
        <v>68</v>
      </c>
      <c r="M273" s="7"/>
      <c r="N273" s="8" t="n">
        <f aca="false">IF(M273&lt;&gt;"",M273-Summary!$C$3,IF(K273="","",K273-Summary!$C$3))</f>
        <v>-940</v>
      </c>
      <c r="O273" s="6" t="s">
        <v>8</v>
      </c>
      <c r="P273" s="6" t="s">
        <v>150</v>
      </c>
      <c r="Q273" s="6" t="s">
        <v>3156</v>
      </c>
      <c r="R273" s="6" t="s">
        <v>1562</v>
      </c>
      <c r="S273" s="6" t="s">
        <v>3157</v>
      </c>
      <c r="T273" s="6" t="s">
        <v>3158</v>
      </c>
      <c r="U273" s="6" t="s">
        <v>3159</v>
      </c>
      <c r="V273" s="6" t="s">
        <v>3160</v>
      </c>
      <c r="W273" s="6" t="s">
        <v>3161</v>
      </c>
      <c r="X273" s="6" t="s">
        <v>3162</v>
      </c>
      <c r="Y273" s="6" t="s">
        <v>3163</v>
      </c>
      <c r="Z273" s="6" t="s">
        <v>128</v>
      </c>
      <c r="AA273" s="6" t="s">
        <v>80</v>
      </c>
    </row>
    <row r="274" customFormat="false" ht="32.8" hidden="false" customHeight="false" outlineLevel="0" collapsed="false">
      <c r="A274" s="6" t="s">
        <v>1599</v>
      </c>
      <c r="B274" s="6" t="s">
        <v>3164</v>
      </c>
      <c r="C274" s="6" t="s">
        <v>2811</v>
      </c>
      <c r="D274" s="6" t="s">
        <v>3165</v>
      </c>
      <c r="E274" s="6" t="s">
        <v>17</v>
      </c>
      <c r="F274" s="6" t="s">
        <v>162</v>
      </c>
      <c r="G274" s="6" t="s">
        <v>553</v>
      </c>
      <c r="H274" s="6" t="s">
        <v>3166</v>
      </c>
      <c r="I274" s="6" t="s">
        <v>2422</v>
      </c>
      <c r="J274" s="6" t="s">
        <v>89</v>
      </c>
      <c r="K274" s="7"/>
      <c r="L274" s="6" t="s">
        <v>88</v>
      </c>
      <c r="M274" s="7"/>
      <c r="N274" s="8" t="str">
        <f aca="false">IF(M274&lt;&gt;"",M274-Summary!$C$3,IF(K274="","",K274-Summary!$C$3))</f>
        <v/>
      </c>
      <c r="O274" s="6" t="s">
        <v>8</v>
      </c>
      <c r="P274" s="6" t="s">
        <v>89</v>
      </c>
      <c r="Q274" s="6" t="s">
        <v>89</v>
      </c>
      <c r="R274" s="6" t="s">
        <v>89</v>
      </c>
      <c r="S274" s="6" t="s">
        <v>3167</v>
      </c>
      <c r="T274" s="6" t="s">
        <v>89</v>
      </c>
      <c r="U274" s="6" t="s">
        <v>89</v>
      </c>
      <c r="V274" s="6" t="s">
        <v>89</v>
      </c>
      <c r="W274" s="6" t="s">
        <v>89</v>
      </c>
      <c r="X274" s="6" t="s">
        <v>89</v>
      </c>
      <c r="Y274" s="6" t="s">
        <v>3168</v>
      </c>
      <c r="Z274" s="6" t="s">
        <v>79</v>
      </c>
      <c r="AA274" s="6" t="s">
        <v>80</v>
      </c>
    </row>
    <row r="275" customFormat="false" ht="43.25" hidden="false" customHeight="false" outlineLevel="0" collapsed="false">
      <c r="A275" s="6" t="s">
        <v>1599</v>
      </c>
      <c r="B275" s="6" t="s">
        <v>3164</v>
      </c>
      <c r="C275" s="6" t="s">
        <v>2811</v>
      </c>
      <c r="D275" s="6" t="s">
        <v>3169</v>
      </c>
      <c r="E275" s="6" t="s">
        <v>17</v>
      </c>
      <c r="F275" s="6" t="s">
        <v>162</v>
      </c>
      <c r="G275" s="6" t="s">
        <v>553</v>
      </c>
      <c r="H275" s="6" t="s">
        <v>3166</v>
      </c>
      <c r="I275" s="6" t="s">
        <v>2927</v>
      </c>
      <c r="J275" s="6" t="s">
        <v>3170</v>
      </c>
      <c r="K275" s="7"/>
      <c r="L275" s="6" t="s">
        <v>88</v>
      </c>
      <c r="M275" s="7"/>
      <c r="N275" s="8" t="str">
        <f aca="false">IF(M275&lt;&gt;"",M275-Summary!$C$3,IF(K275="","",K275-Summary!$C$3))</f>
        <v/>
      </c>
      <c r="O275" s="6" t="s">
        <v>8</v>
      </c>
      <c r="P275" s="6" t="s">
        <v>89</v>
      </c>
      <c r="Q275" s="6" t="s">
        <v>89</v>
      </c>
      <c r="R275" s="6" t="s">
        <v>89</v>
      </c>
      <c r="S275" s="6" t="s">
        <v>3171</v>
      </c>
      <c r="T275" s="6" t="s">
        <v>89</v>
      </c>
      <c r="U275" s="6" t="s">
        <v>89</v>
      </c>
      <c r="V275" s="6" t="s">
        <v>89</v>
      </c>
      <c r="W275" s="6" t="s">
        <v>89</v>
      </c>
      <c r="X275" s="6" t="s">
        <v>89</v>
      </c>
      <c r="Y275" s="6" t="s">
        <v>3172</v>
      </c>
      <c r="Z275" s="6" t="s">
        <v>79</v>
      </c>
      <c r="AA275" s="6" t="s">
        <v>80</v>
      </c>
    </row>
    <row r="276" customFormat="false" ht="43.25" hidden="false" customHeight="false" outlineLevel="0" collapsed="false">
      <c r="A276" s="6" t="s">
        <v>1599</v>
      </c>
      <c r="B276" s="6" t="s">
        <v>172</v>
      </c>
      <c r="C276" s="6" t="s">
        <v>3173</v>
      </c>
      <c r="D276" s="6" t="s">
        <v>3174</v>
      </c>
      <c r="E276" s="6" t="s">
        <v>17</v>
      </c>
      <c r="F276" s="6" t="s">
        <v>147</v>
      </c>
      <c r="G276" s="6" t="s">
        <v>3175</v>
      </c>
      <c r="H276" s="6" t="s">
        <v>65</v>
      </c>
      <c r="I276" s="6" t="s">
        <v>3176</v>
      </c>
      <c r="J276" s="6" t="s">
        <v>3177</v>
      </c>
      <c r="K276" s="7" t="n">
        <v>45412</v>
      </c>
      <c r="L276" s="6" t="s">
        <v>68</v>
      </c>
      <c r="M276" s="7"/>
      <c r="N276" s="8" t="n">
        <f aca="false">IF(M276&lt;&gt;"",M276-Summary!$C$3,IF(K276="","",K276-Summary!$C$3))</f>
        <v>-893</v>
      </c>
      <c r="O276" s="6" t="s">
        <v>8</v>
      </c>
      <c r="P276" s="6" t="s">
        <v>89</v>
      </c>
      <c r="Q276" s="6" t="s">
        <v>89</v>
      </c>
      <c r="R276" s="6" t="s">
        <v>89</v>
      </c>
      <c r="S276" s="6" t="s">
        <v>3178</v>
      </c>
      <c r="T276" s="6" t="s">
        <v>89</v>
      </c>
      <c r="U276" s="6" t="s">
        <v>89</v>
      </c>
      <c r="V276" s="6" t="s">
        <v>89</v>
      </c>
      <c r="W276" s="6" t="s">
        <v>89</v>
      </c>
      <c r="X276" s="6" t="s">
        <v>89</v>
      </c>
      <c r="Y276" s="6" t="s">
        <v>3179</v>
      </c>
      <c r="Z276" s="6" t="s">
        <v>128</v>
      </c>
      <c r="AA276" s="6"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26"/>
    <col collapsed="false" customWidth="true" hidden="false" outlineLevel="0" max="4" min="4" style="0" width="34"/>
    <col collapsed="false" customWidth="true" hidden="false" outlineLevel="0" max="7" min="5" style="0" width="20"/>
    <col collapsed="false" customWidth="true" hidden="false" outlineLevel="0" max="8" min="8" style="0" width="18"/>
    <col collapsed="false" customWidth="true" hidden="false" outlineLevel="0" max="9" min="9" style="0" width="14"/>
    <col collapsed="false" customWidth="true" hidden="false" outlineLevel="0" max="10" min="10" style="0" width="22"/>
    <col collapsed="false" customWidth="true" hidden="false" outlineLevel="0" max="11" min="11" style="0" width="12"/>
    <col collapsed="false" customWidth="true" hidden="false" outlineLevel="0" max="12" min="12" style="0" width="11"/>
    <col collapsed="false" customWidth="true" hidden="false" outlineLevel="0" max="13" min="13" style="0" width="14"/>
    <col collapsed="false" customWidth="true" hidden="false" outlineLevel="0" max="14" min="14" style="0" width="10"/>
    <col collapsed="false" customWidth="true" hidden="false" outlineLevel="0" max="15" min="15" style="0" width="16"/>
    <col collapsed="false" customWidth="true" hidden="false" outlineLevel="0" max="16" min="16" style="0" width="14"/>
    <col collapsed="false" customWidth="true" hidden="false" outlineLevel="0" max="17" min="17" style="0" width="28"/>
    <col collapsed="false" customWidth="true" hidden="false" outlineLevel="0" max="18" min="18" style="0" width="30"/>
    <col collapsed="false" customWidth="true" hidden="false" outlineLevel="0" max="19" min="19" style="0" width="34"/>
    <col collapsed="false" customWidth="true" hidden="false" outlineLevel="0" max="20" min="20" style="0" width="28"/>
    <col collapsed="false" customWidth="true" hidden="false" outlineLevel="0" max="21" min="21" style="0" width="30"/>
    <col collapsed="false" customWidth="true" hidden="false" outlineLevel="0" max="22" min="22" style="0" width="28"/>
    <col collapsed="false" customWidth="true" hidden="false" outlineLevel="0" max="23" min="23" style="0" width="18"/>
    <col collapsed="false" customWidth="true" hidden="false" outlineLevel="0" max="24" min="24" style="0" width="36"/>
    <col collapsed="false" customWidth="true" hidden="false" outlineLevel="0" max="25" min="25" style="0" width="48"/>
    <col collapsed="false" customWidth="true" hidden="false" outlineLevel="0" max="26" min="26" style="0" width="10"/>
    <col collapsed="false" customWidth="true" hidden="false" outlineLevel="0" max="27" min="27" style="0" width="8"/>
  </cols>
  <sheetData>
    <row r="1" customFormat="false" ht="30" hidden="false" customHeight="true" outlineLevel="0" collapsed="false">
      <c r="A1" s="5" t="s">
        <v>32</v>
      </c>
      <c r="B1" s="5" t="s">
        <v>33</v>
      </c>
      <c r="C1" s="5" t="s">
        <v>34</v>
      </c>
      <c r="D1" s="5" t="s">
        <v>35</v>
      </c>
      <c r="E1" s="5" t="s">
        <v>36</v>
      </c>
      <c r="F1" s="5" t="s">
        <v>37</v>
      </c>
      <c r="G1" s="5" t="s">
        <v>38</v>
      </c>
      <c r="H1" s="5" t="s">
        <v>39</v>
      </c>
      <c r="I1" s="5" t="s">
        <v>40</v>
      </c>
      <c r="J1" s="5" t="s">
        <v>41</v>
      </c>
      <c r="K1" s="5" t="s">
        <v>42</v>
      </c>
      <c r="L1" s="5" t="s">
        <v>43</v>
      </c>
      <c r="M1" s="5" t="s">
        <v>44</v>
      </c>
      <c r="N1" s="5" t="s">
        <v>45</v>
      </c>
      <c r="O1" s="5" t="s">
        <v>46</v>
      </c>
      <c r="P1" s="5" t="s">
        <v>47</v>
      </c>
      <c r="Q1" s="5" t="s">
        <v>48</v>
      </c>
      <c r="R1" s="5" t="s">
        <v>49</v>
      </c>
      <c r="S1" s="5" t="s">
        <v>50</v>
      </c>
      <c r="T1" s="5" t="s">
        <v>51</v>
      </c>
      <c r="U1" s="5" t="s">
        <v>52</v>
      </c>
      <c r="V1" s="5" t="s">
        <v>53</v>
      </c>
      <c r="W1" s="5" t="s">
        <v>54</v>
      </c>
      <c r="X1" s="5" t="s">
        <v>55</v>
      </c>
      <c r="Y1" s="5" t="s">
        <v>56</v>
      </c>
      <c r="Z1" s="5" t="s">
        <v>57</v>
      </c>
      <c r="AA1" s="5" t="s">
        <v>58</v>
      </c>
    </row>
    <row r="2" customFormat="false" ht="53.7" hidden="false" customHeight="false" outlineLevel="0" collapsed="false">
      <c r="A2" s="6" t="s">
        <v>81</v>
      </c>
      <c r="B2" s="6" t="s">
        <v>82</v>
      </c>
      <c r="C2" s="6" t="s">
        <v>81</v>
      </c>
      <c r="D2" s="6" t="s">
        <v>83</v>
      </c>
      <c r="E2" s="6" t="s">
        <v>17</v>
      </c>
      <c r="F2" s="6" t="s">
        <v>84</v>
      </c>
      <c r="G2" s="6" t="s">
        <v>85</v>
      </c>
      <c r="H2" s="6" t="s">
        <v>65</v>
      </c>
      <c r="I2" s="6" t="s">
        <v>86</v>
      </c>
      <c r="J2" s="6" t="s">
        <v>87</v>
      </c>
      <c r="K2" s="7"/>
      <c r="L2" s="6" t="s">
        <v>88</v>
      </c>
      <c r="M2" s="7"/>
      <c r="N2" s="8" t="str">
        <f aca="false">IF(M2&lt;&gt;"",M2-Summary!$C$3,IF(K2="","",K2-Summary!$C$3))</f>
        <v/>
      </c>
      <c r="O2" s="6" t="s">
        <v>4</v>
      </c>
      <c r="P2" s="6" t="s">
        <v>89</v>
      </c>
      <c r="Q2" s="6" t="s">
        <v>89</v>
      </c>
      <c r="R2" s="6" t="s">
        <v>89</v>
      </c>
      <c r="S2" s="6" t="s">
        <v>90</v>
      </c>
      <c r="T2" s="6" t="s">
        <v>89</v>
      </c>
      <c r="U2" s="6" t="s">
        <v>89</v>
      </c>
      <c r="V2" s="6" t="s">
        <v>89</v>
      </c>
      <c r="W2" s="6" t="s">
        <v>89</v>
      </c>
      <c r="X2" s="6" t="s">
        <v>89</v>
      </c>
      <c r="Y2" s="6" t="s">
        <v>91</v>
      </c>
      <c r="Z2" s="6" t="s">
        <v>79</v>
      </c>
      <c r="AA2" s="6" t="s">
        <v>80</v>
      </c>
    </row>
    <row r="3" customFormat="false" ht="64.15" hidden="false" customHeight="false" outlineLevel="0" collapsed="false">
      <c r="A3" s="6" t="s">
        <v>532</v>
      </c>
      <c r="B3" s="6" t="s">
        <v>533</v>
      </c>
      <c r="C3" s="6" t="s">
        <v>534</v>
      </c>
      <c r="D3" s="6" t="s">
        <v>535</v>
      </c>
      <c r="E3" s="6" t="s">
        <v>17</v>
      </c>
      <c r="F3" s="6" t="s">
        <v>89</v>
      </c>
      <c r="G3" s="6" t="s">
        <v>536</v>
      </c>
      <c r="H3" s="6" t="s">
        <v>65</v>
      </c>
      <c r="I3" s="6" t="s">
        <v>537</v>
      </c>
      <c r="J3" s="6" t="s">
        <v>89</v>
      </c>
      <c r="K3" s="7"/>
      <c r="L3" s="6" t="s">
        <v>88</v>
      </c>
      <c r="M3" s="7"/>
      <c r="N3" s="8" t="str">
        <f aca="false">IF(M3&lt;&gt;"",M3-Summary!$C$3,IF(K3="","",K3-Summary!$C$3))</f>
        <v/>
      </c>
      <c r="O3" s="6" t="s">
        <v>4</v>
      </c>
      <c r="P3" s="6" t="s">
        <v>89</v>
      </c>
      <c r="Q3" s="6" t="s">
        <v>89</v>
      </c>
      <c r="R3" s="6" t="s">
        <v>538</v>
      </c>
      <c r="S3" s="6" t="s">
        <v>89</v>
      </c>
      <c r="T3" s="6" t="s">
        <v>89</v>
      </c>
      <c r="U3" s="6" t="s">
        <v>89</v>
      </c>
      <c r="V3" s="6" t="s">
        <v>89</v>
      </c>
      <c r="W3" s="6" t="s">
        <v>89</v>
      </c>
      <c r="X3" s="6" t="s">
        <v>539</v>
      </c>
      <c r="Y3" s="6" t="s">
        <v>540</v>
      </c>
      <c r="Z3" s="6" t="s">
        <v>128</v>
      </c>
      <c r="AA3" s="6" t="s">
        <v>194</v>
      </c>
    </row>
    <row r="4" customFormat="false" ht="53.7" hidden="false" customHeight="false" outlineLevel="0" collapsed="false">
      <c r="A4" s="6" t="s">
        <v>830</v>
      </c>
      <c r="B4" s="6" t="s">
        <v>831</v>
      </c>
      <c r="C4" s="6" t="s">
        <v>832</v>
      </c>
      <c r="D4" s="6" t="s">
        <v>833</v>
      </c>
      <c r="E4" s="6" t="s">
        <v>17</v>
      </c>
      <c r="F4" s="6" t="s">
        <v>834</v>
      </c>
      <c r="G4" s="6" t="s">
        <v>122</v>
      </c>
      <c r="H4" s="6" t="s">
        <v>65</v>
      </c>
      <c r="I4" s="6" t="s">
        <v>835</v>
      </c>
      <c r="J4" s="6" t="s">
        <v>836</v>
      </c>
      <c r="K4" s="7"/>
      <c r="L4" s="6" t="s">
        <v>88</v>
      </c>
      <c r="M4" s="7"/>
      <c r="N4" s="8" t="str">
        <f aca="false">IF(M4&lt;&gt;"",M4-Summary!$C$3,IF(K4="","",K4-Summary!$C$3))</f>
        <v/>
      </c>
      <c r="O4" s="6" t="s">
        <v>4</v>
      </c>
      <c r="P4" s="6" t="s">
        <v>89</v>
      </c>
      <c r="Q4" s="6" t="s">
        <v>89</v>
      </c>
      <c r="R4" s="6" t="s">
        <v>837</v>
      </c>
      <c r="S4" s="6" t="s">
        <v>838</v>
      </c>
      <c r="T4" s="6" t="s">
        <v>89</v>
      </c>
      <c r="U4" s="6" t="s">
        <v>89</v>
      </c>
      <c r="V4" s="6" t="s">
        <v>89</v>
      </c>
      <c r="W4" s="6" t="s">
        <v>89</v>
      </c>
      <c r="X4" s="6" t="s">
        <v>89</v>
      </c>
      <c r="Y4" s="6" t="s">
        <v>839</v>
      </c>
      <c r="Z4" s="6" t="s">
        <v>128</v>
      </c>
      <c r="AA4" s="6" t="s">
        <v>80</v>
      </c>
    </row>
    <row r="5" customFormat="false" ht="53.7" hidden="false" customHeight="false" outlineLevel="0" collapsed="false">
      <c r="A5" s="6" t="s">
        <v>1021</v>
      </c>
      <c r="B5" s="6" t="s">
        <v>1021</v>
      </c>
      <c r="C5" s="6" t="s">
        <v>2002</v>
      </c>
      <c r="D5" s="6" t="s">
        <v>2003</v>
      </c>
      <c r="E5" s="6" t="s">
        <v>23</v>
      </c>
      <c r="F5" s="6" t="s">
        <v>1001</v>
      </c>
      <c r="G5" s="6" t="s">
        <v>2004</v>
      </c>
      <c r="H5" s="6" t="s">
        <v>344</v>
      </c>
      <c r="I5" s="6" t="s">
        <v>2005</v>
      </c>
      <c r="J5" s="6" t="s">
        <v>89</v>
      </c>
      <c r="K5" s="7"/>
      <c r="L5" s="6" t="s">
        <v>88</v>
      </c>
      <c r="M5" s="7"/>
      <c r="N5" s="8" t="str">
        <f aca="false">IF(M5&lt;&gt;"",M5-Summary!$C$3,IF(K5="","",K5-Summary!$C$3))</f>
        <v/>
      </c>
      <c r="O5" s="6" t="s">
        <v>6</v>
      </c>
      <c r="P5" s="6" t="s">
        <v>89</v>
      </c>
      <c r="Q5" s="6" t="s">
        <v>89</v>
      </c>
      <c r="R5" s="6" t="s">
        <v>89</v>
      </c>
      <c r="S5" s="6" t="s">
        <v>2006</v>
      </c>
      <c r="T5" s="6" t="s">
        <v>89</v>
      </c>
      <c r="U5" s="6" t="s">
        <v>2007</v>
      </c>
      <c r="V5" s="6" t="s">
        <v>2008</v>
      </c>
      <c r="W5" s="6" t="s">
        <v>2009</v>
      </c>
      <c r="X5" s="6" t="s">
        <v>2010</v>
      </c>
      <c r="Y5" s="6" t="s">
        <v>2011</v>
      </c>
      <c r="Z5" s="6" t="s">
        <v>128</v>
      </c>
      <c r="AA5" s="6" t="s">
        <v>80</v>
      </c>
    </row>
    <row r="6" customFormat="false" ht="43.25" hidden="false" customHeight="false" outlineLevel="0" collapsed="false">
      <c r="A6" s="6" t="s">
        <v>2035</v>
      </c>
      <c r="B6" s="6" t="s">
        <v>2036</v>
      </c>
      <c r="C6" s="6" t="s">
        <v>222</v>
      </c>
      <c r="D6" s="6" t="s">
        <v>2037</v>
      </c>
      <c r="E6" s="6" t="s">
        <v>17</v>
      </c>
      <c r="F6" s="6" t="s">
        <v>224</v>
      </c>
      <c r="G6" s="6" t="s">
        <v>225</v>
      </c>
      <c r="H6" s="6" t="s">
        <v>226</v>
      </c>
      <c r="I6" s="6" t="s">
        <v>2038</v>
      </c>
      <c r="J6" s="6" t="s">
        <v>89</v>
      </c>
      <c r="K6" s="7"/>
      <c r="L6" s="6" t="s">
        <v>88</v>
      </c>
      <c r="M6" s="7"/>
      <c r="N6" s="8" t="str">
        <f aca="false">IF(M6&lt;&gt;"",M6-Summary!$C$3,IF(K6="","",K6-Summary!$C$3))</f>
        <v/>
      </c>
      <c r="O6" s="6" t="s">
        <v>6</v>
      </c>
      <c r="P6" s="6" t="s">
        <v>89</v>
      </c>
      <c r="Q6" s="6" t="s">
        <v>89</v>
      </c>
      <c r="R6" s="6" t="s">
        <v>89</v>
      </c>
      <c r="S6" s="6" t="s">
        <v>2039</v>
      </c>
      <c r="T6" s="6" t="s">
        <v>89</v>
      </c>
      <c r="U6" s="6" t="s">
        <v>89</v>
      </c>
      <c r="V6" s="6" t="s">
        <v>89</v>
      </c>
      <c r="W6" s="6" t="s">
        <v>89</v>
      </c>
      <c r="X6" s="6" t="s">
        <v>89</v>
      </c>
      <c r="Y6" s="6" t="s">
        <v>2040</v>
      </c>
      <c r="Z6" s="6" t="s">
        <v>128</v>
      </c>
      <c r="AA6" s="6" t="s">
        <v>194</v>
      </c>
    </row>
    <row r="7" customFormat="false" ht="53.7" hidden="false" customHeight="false" outlineLevel="0" collapsed="false">
      <c r="A7" s="6" t="s">
        <v>1420</v>
      </c>
      <c r="B7" s="6" t="s">
        <v>1421</v>
      </c>
      <c r="C7" s="6" t="s">
        <v>1407</v>
      </c>
      <c r="D7" s="6" t="s">
        <v>1422</v>
      </c>
      <c r="E7" s="6" t="s">
        <v>17</v>
      </c>
      <c r="F7" s="6" t="s">
        <v>427</v>
      </c>
      <c r="G7" s="6" t="s">
        <v>122</v>
      </c>
      <c r="H7" s="6" t="s">
        <v>1423</v>
      </c>
      <c r="I7" s="6" t="s">
        <v>1424</v>
      </c>
      <c r="J7" s="6" t="s">
        <v>1425</v>
      </c>
      <c r="K7" s="7" t="n">
        <v>41883</v>
      </c>
      <c r="L7" s="6" t="s">
        <v>68</v>
      </c>
      <c r="M7" s="7"/>
      <c r="N7" s="8" t="n">
        <f aca="false">IF(M7&lt;&gt;"",M7-Summary!$C$3,IF(K7="","",K7-Summary!$C$3))</f>
        <v>-4422</v>
      </c>
      <c r="O7" s="6" t="s">
        <v>4</v>
      </c>
      <c r="P7" s="6" t="s">
        <v>89</v>
      </c>
      <c r="Q7" s="6" t="s">
        <v>89</v>
      </c>
      <c r="R7" s="6" t="s">
        <v>89</v>
      </c>
      <c r="S7" s="6" t="s">
        <v>1426</v>
      </c>
      <c r="T7" s="6" t="s">
        <v>89</v>
      </c>
      <c r="U7" s="6" t="s">
        <v>89</v>
      </c>
      <c r="V7" s="6" t="s">
        <v>1427</v>
      </c>
      <c r="W7" s="6" t="s">
        <v>89</v>
      </c>
      <c r="X7" s="6" t="s">
        <v>89</v>
      </c>
      <c r="Y7" s="6" t="s">
        <v>1428</v>
      </c>
      <c r="Z7" s="6" t="s">
        <v>128</v>
      </c>
      <c r="AA7" s="6" t="s">
        <v>80</v>
      </c>
    </row>
    <row r="8" customFormat="false" ht="53.7" hidden="false" customHeight="false" outlineLevel="0" collapsed="false">
      <c r="A8" s="6" t="s">
        <v>550</v>
      </c>
      <c r="B8" s="6" t="s">
        <v>565</v>
      </c>
      <c r="C8" s="6" t="s">
        <v>566</v>
      </c>
      <c r="D8" s="6" t="s">
        <v>567</v>
      </c>
      <c r="E8" s="6" t="s">
        <v>21</v>
      </c>
      <c r="F8" s="6" t="s">
        <v>131</v>
      </c>
      <c r="G8" s="6" t="s">
        <v>122</v>
      </c>
      <c r="H8" s="6" t="s">
        <v>568</v>
      </c>
      <c r="I8" s="6" t="s">
        <v>569</v>
      </c>
      <c r="J8" s="6" t="s">
        <v>570</v>
      </c>
      <c r="K8" s="7" t="n">
        <v>45382</v>
      </c>
      <c r="L8" s="6" t="s">
        <v>68</v>
      </c>
      <c r="M8" s="7"/>
      <c r="N8" s="8" t="n">
        <f aca="false">IF(M8&lt;&gt;"",M8-Summary!$C$3,IF(K8="","",K8-Summary!$C$3))</f>
        <v>-923</v>
      </c>
      <c r="O8" s="6" t="s">
        <v>4</v>
      </c>
      <c r="P8" s="6" t="s">
        <v>571</v>
      </c>
      <c r="Q8" s="6" t="s">
        <v>572</v>
      </c>
      <c r="R8" s="6" t="s">
        <v>573</v>
      </c>
      <c r="S8" s="6" t="s">
        <v>574</v>
      </c>
      <c r="T8" s="6" t="s">
        <v>89</v>
      </c>
      <c r="U8" s="6" t="s">
        <v>89</v>
      </c>
      <c r="V8" s="6" t="s">
        <v>89</v>
      </c>
      <c r="W8" s="6" t="s">
        <v>575</v>
      </c>
      <c r="X8" s="6" t="s">
        <v>576</v>
      </c>
      <c r="Y8" s="6" t="s">
        <v>577</v>
      </c>
      <c r="Z8" s="6" t="s">
        <v>128</v>
      </c>
      <c r="AA8" s="6" t="s">
        <v>80</v>
      </c>
    </row>
    <row r="9" customFormat="false" ht="53.7" hidden="false" customHeight="false" outlineLevel="0" collapsed="false">
      <c r="A9" s="6" t="s">
        <v>1583</v>
      </c>
      <c r="B9" s="6" t="s">
        <v>1584</v>
      </c>
      <c r="C9" s="6" t="s">
        <v>1583</v>
      </c>
      <c r="D9" s="6" t="s">
        <v>1585</v>
      </c>
      <c r="E9" s="6" t="s">
        <v>19</v>
      </c>
      <c r="F9" s="6" t="s">
        <v>1586</v>
      </c>
      <c r="G9" s="6" t="s">
        <v>1587</v>
      </c>
      <c r="H9" s="6" t="s">
        <v>65</v>
      </c>
      <c r="I9" s="6" t="s">
        <v>1588</v>
      </c>
      <c r="J9" s="6" t="s">
        <v>1589</v>
      </c>
      <c r="K9" s="7" t="n">
        <v>45412</v>
      </c>
      <c r="L9" s="6" t="s">
        <v>68</v>
      </c>
      <c r="M9" s="7"/>
      <c r="N9" s="8" t="n">
        <f aca="false">IF(M9&lt;&gt;"",M9-Summary!$C$3,IF(K9="","",K9-Summary!$C$3))</f>
        <v>-893</v>
      </c>
      <c r="O9" s="6" t="s">
        <v>4</v>
      </c>
      <c r="P9" s="6" t="s">
        <v>69</v>
      </c>
      <c r="Q9" s="6" t="s">
        <v>1590</v>
      </c>
      <c r="R9" s="6" t="s">
        <v>1591</v>
      </c>
      <c r="S9" s="6" t="s">
        <v>1592</v>
      </c>
      <c r="T9" s="6" t="s">
        <v>1593</v>
      </c>
      <c r="U9" s="6" t="s">
        <v>1594</v>
      </c>
      <c r="V9" s="6" t="s">
        <v>1595</v>
      </c>
      <c r="W9" s="6" t="s">
        <v>1596</v>
      </c>
      <c r="X9" s="6" t="s">
        <v>1597</v>
      </c>
      <c r="Y9" s="6" t="s">
        <v>1598</v>
      </c>
      <c r="Z9" s="6" t="s">
        <v>128</v>
      </c>
      <c r="AA9" s="6" t="s">
        <v>194</v>
      </c>
    </row>
    <row r="10" customFormat="false" ht="74.6" hidden="false" customHeight="false" outlineLevel="0" collapsed="false">
      <c r="A10" s="6" t="s">
        <v>1772</v>
      </c>
      <c r="B10" s="6" t="s">
        <v>1773</v>
      </c>
      <c r="C10" s="6" t="s">
        <v>1774</v>
      </c>
      <c r="D10" s="6" t="s">
        <v>1775</v>
      </c>
      <c r="E10" s="6" t="s">
        <v>20</v>
      </c>
      <c r="F10" s="6" t="s">
        <v>224</v>
      </c>
      <c r="G10" s="6" t="s">
        <v>682</v>
      </c>
      <c r="H10" s="6" t="s">
        <v>65</v>
      </c>
      <c r="I10" s="6" t="s">
        <v>1776</v>
      </c>
      <c r="J10" s="6" t="s">
        <v>1777</v>
      </c>
      <c r="K10" s="7" t="n">
        <v>45565</v>
      </c>
      <c r="L10" s="6" t="s">
        <v>68</v>
      </c>
      <c r="M10" s="7"/>
      <c r="N10" s="8" t="n">
        <f aca="false">IF(M10&lt;&gt;"",M10-Summary!$C$3,IF(K10="","",K10-Summary!$C$3))</f>
        <v>-740</v>
      </c>
      <c r="O10" s="6" t="s">
        <v>5</v>
      </c>
      <c r="P10" s="6" t="s">
        <v>89</v>
      </c>
      <c r="Q10" s="6" t="s">
        <v>89</v>
      </c>
      <c r="R10" s="6" t="s">
        <v>1778</v>
      </c>
      <c r="S10" s="6" t="s">
        <v>1779</v>
      </c>
      <c r="T10" s="6" t="s">
        <v>89</v>
      </c>
      <c r="U10" s="6" t="s">
        <v>89</v>
      </c>
      <c r="V10" s="6" t="s">
        <v>1780</v>
      </c>
      <c r="W10" s="6" t="s">
        <v>89</v>
      </c>
      <c r="X10" s="6" t="s">
        <v>89</v>
      </c>
      <c r="Y10" s="6" t="s">
        <v>1781</v>
      </c>
      <c r="Z10" s="6" t="s">
        <v>128</v>
      </c>
      <c r="AA10" s="6" t="s">
        <v>80</v>
      </c>
    </row>
    <row r="11" customFormat="false" ht="64.15" hidden="false" customHeight="false" outlineLevel="0" collapsed="false">
      <c r="A11" s="6" t="s">
        <v>1796</v>
      </c>
      <c r="B11" s="6" t="s">
        <v>1797</v>
      </c>
      <c r="C11" s="6" t="s">
        <v>1798</v>
      </c>
      <c r="D11" s="6" t="s">
        <v>1799</v>
      </c>
      <c r="E11" s="6" t="s">
        <v>20</v>
      </c>
      <c r="F11" s="6" t="s">
        <v>224</v>
      </c>
      <c r="G11" s="6" t="s">
        <v>682</v>
      </c>
      <c r="H11" s="6" t="s">
        <v>65</v>
      </c>
      <c r="I11" s="6" t="s">
        <v>1800</v>
      </c>
      <c r="J11" s="6" t="s">
        <v>1801</v>
      </c>
      <c r="K11" s="7" t="n">
        <v>45565</v>
      </c>
      <c r="L11" s="6" t="s">
        <v>68</v>
      </c>
      <c r="M11" s="7"/>
      <c r="N11" s="8" t="n">
        <f aca="false">IF(M11&lt;&gt;"",M11-Summary!$C$3,IF(K11="","",K11-Summary!$C$3))</f>
        <v>-740</v>
      </c>
      <c r="O11" s="6" t="s">
        <v>5</v>
      </c>
      <c r="P11" s="6" t="s">
        <v>1802</v>
      </c>
      <c r="Q11" s="6" t="s">
        <v>89</v>
      </c>
      <c r="R11" s="6" t="s">
        <v>1803</v>
      </c>
      <c r="S11" s="6" t="s">
        <v>1804</v>
      </c>
      <c r="T11" s="6" t="s">
        <v>89</v>
      </c>
      <c r="U11" s="6" t="s">
        <v>89</v>
      </c>
      <c r="V11" s="6" t="s">
        <v>1805</v>
      </c>
      <c r="W11" s="6" t="s">
        <v>89</v>
      </c>
      <c r="X11" s="6" t="s">
        <v>1806</v>
      </c>
      <c r="Y11" s="6" t="s">
        <v>1807</v>
      </c>
      <c r="Z11" s="6" t="s">
        <v>128</v>
      </c>
      <c r="AA11" s="6" t="s">
        <v>80</v>
      </c>
    </row>
    <row r="12" customFormat="false" ht="64.15" hidden="false" customHeight="false" outlineLevel="0" collapsed="false">
      <c r="A12" s="6" t="s">
        <v>654</v>
      </c>
      <c r="B12" s="6" t="s">
        <v>1819</v>
      </c>
      <c r="C12" s="6" t="s">
        <v>1820</v>
      </c>
      <c r="D12" s="6" t="s">
        <v>1821</v>
      </c>
      <c r="E12" s="6" t="s">
        <v>20</v>
      </c>
      <c r="F12" s="6" t="s">
        <v>224</v>
      </c>
      <c r="G12" s="6" t="s">
        <v>682</v>
      </c>
      <c r="H12" s="6" t="s">
        <v>65</v>
      </c>
      <c r="I12" s="6" t="s">
        <v>1822</v>
      </c>
      <c r="J12" s="6" t="s">
        <v>1788</v>
      </c>
      <c r="K12" s="7" t="n">
        <v>45565</v>
      </c>
      <c r="L12" s="6" t="s">
        <v>1823</v>
      </c>
      <c r="M12" s="7"/>
      <c r="N12" s="8" t="n">
        <f aca="false">IF(M12&lt;&gt;"",M12-Summary!$C$3,IF(K12="","",K12-Summary!$C$3))</f>
        <v>-740</v>
      </c>
      <c r="O12" s="6" t="s">
        <v>5</v>
      </c>
      <c r="P12" s="6" t="s">
        <v>89</v>
      </c>
      <c r="Q12" s="6" t="s">
        <v>89</v>
      </c>
      <c r="R12" s="6" t="s">
        <v>693</v>
      </c>
      <c r="S12" s="6" t="s">
        <v>694</v>
      </c>
      <c r="T12" s="6" t="s">
        <v>89</v>
      </c>
      <c r="U12" s="6" t="s">
        <v>89</v>
      </c>
      <c r="V12" s="6" t="s">
        <v>1824</v>
      </c>
      <c r="W12" s="6" t="s">
        <v>89</v>
      </c>
      <c r="X12" s="6" t="s">
        <v>89</v>
      </c>
      <c r="Y12" s="6" t="s">
        <v>1825</v>
      </c>
      <c r="Z12" s="6" t="s">
        <v>128</v>
      </c>
      <c r="AA12" s="6" t="s">
        <v>80</v>
      </c>
    </row>
    <row r="13" customFormat="false" ht="53.7" hidden="false" customHeight="false" outlineLevel="0" collapsed="false">
      <c r="A13" s="6" t="s">
        <v>1021</v>
      </c>
      <c r="B13" s="6" t="s">
        <v>1036</v>
      </c>
      <c r="C13" s="6" t="s">
        <v>2002</v>
      </c>
      <c r="D13" s="6" t="s">
        <v>2012</v>
      </c>
      <c r="E13" s="6" t="s">
        <v>19</v>
      </c>
      <c r="F13" s="6" t="s">
        <v>224</v>
      </c>
      <c r="G13" s="6" t="s">
        <v>2013</v>
      </c>
      <c r="H13" s="6" t="s">
        <v>1082</v>
      </c>
      <c r="I13" s="6" t="s">
        <v>1263</v>
      </c>
      <c r="J13" s="6" t="s">
        <v>2014</v>
      </c>
      <c r="K13" s="7" t="n">
        <v>45657</v>
      </c>
      <c r="L13" s="6" t="s">
        <v>68</v>
      </c>
      <c r="M13" s="7"/>
      <c r="N13" s="8" t="n">
        <f aca="false">IF(M13&lt;&gt;"",M13-Summary!$C$3,IF(K13="","",K13-Summary!$C$3))</f>
        <v>-648</v>
      </c>
      <c r="O13" s="6" t="s">
        <v>6</v>
      </c>
      <c r="P13" s="6" t="s">
        <v>69</v>
      </c>
      <c r="Q13" s="6" t="s">
        <v>2015</v>
      </c>
      <c r="R13" s="6" t="s">
        <v>326</v>
      </c>
      <c r="S13" s="6" t="s">
        <v>2016</v>
      </c>
      <c r="T13" s="6" t="s">
        <v>2017</v>
      </c>
      <c r="U13" s="6" t="s">
        <v>2018</v>
      </c>
      <c r="V13" s="6" t="s">
        <v>2019</v>
      </c>
      <c r="W13" s="6" t="s">
        <v>2020</v>
      </c>
      <c r="X13" s="6" t="s">
        <v>2021</v>
      </c>
      <c r="Y13" s="6" t="s">
        <v>2022</v>
      </c>
      <c r="Z13" s="6" t="s">
        <v>128</v>
      </c>
      <c r="AA13" s="6" t="s">
        <v>194</v>
      </c>
    </row>
    <row r="14" customFormat="false" ht="53.7" hidden="false" customHeight="false" outlineLevel="0" collapsed="false">
      <c r="A14" s="6" t="s">
        <v>1021</v>
      </c>
      <c r="B14" s="6" t="s">
        <v>1022</v>
      </c>
      <c r="C14" s="6" t="s">
        <v>2023</v>
      </c>
      <c r="D14" s="6" t="s">
        <v>2024</v>
      </c>
      <c r="E14" s="6" t="s">
        <v>19</v>
      </c>
      <c r="F14" s="6" t="s">
        <v>224</v>
      </c>
      <c r="G14" s="6" t="s">
        <v>2025</v>
      </c>
      <c r="H14" s="6" t="s">
        <v>226</v>
      </c>
      <c r="I14" s="6" t="s">
        <v>1263</v>
      </c>
      <c r="J14" s="6" t="s">
        <v>2026</v>
      </c>
      <c r="K14" s="7" t="n">
        <v>45657</v>
      </c>
      <c r="L14" s="6" t="s">
        <v>68</v>
      </c>
      <c r="M14" s="7"/>
      <c r="N14" s="8" t="n">
        <f aca="false">IF(M14&lt;&gt;"",M14-Summary!$C$3,IF(K14="","",K14-Summary!$C$3))</f>
        <v>-648</v>
      </c>
      <c r="O14" s="6" t="s">
        <v>6</v>
      </c>
      <c r="P14" s="6" t="s">
        <v>69</v>
      </c>
      <c r="Q14" s="6" t="s">
        <v>2027</v>
      </c>
      <c r="R14" s="6" t="s">
        <v>2028</v>
      </c>
      <c r="S14" s="6" t="s">
        <v>2029</v>
      </c>
      <c r="T14" s="6" t="s">
        <v>2030</v>
      </c>
      <c r="U14" s="6" t="s">
        <v>2031</v>
      </c>
      <c r="V14" s="6" t="s">
        <v>2032</v>
      </c>
      <c r="W14" s="6" t="s">
        <v>382</v>
      </c>
      <c r="X14" s="6" t="s">
        <v>2033</v>
      </c>
      <c r="Y14" s="6" t="s">
        <v>2034</v>
      </c>
      <c r="Z14" s="6" t="s">
        <v>128</v>
      </c>
      <c r="AA14" s="6" t="s">
        <v>194</v>
      </c>
    </row>
    <row r="15" customFormat="false" ht="53.7" hidden="false" customHeight="false" outlineLevel="0" collapsed="false">
      <c r="A15" s="6" t="s">
        <v>757</v>
      </c>
      <c r="B15" s="6" t="s">
        <v>758</v>
      </c>
      <c r="C15" s="6" t="s">
        <v>759</v>
      </c>
      <c r="D15" s="6" t="s">
        <v>760</v>
      </c>
      <c r="E15" s="6" t="s">
        <v>21</v>
      </c>
      <c r="F15" s="6" t="s">
        <v>494</v>
      </c>
      <c r="G15" s="6" t="s">
        <v>122</v>
      </c>
      <c r="H15" s="6" t="s">
        <v>65</v>
      </c>
      <c r="I15" s="6" t="s">
        <v>761</v>
      </c>
      <c r="J15" s="6" t="s">
        <v>762</v>
      </c>
      <c r="K15" s="7" t="n">
        <v>45720</v>
      </c>
      <c r="L15" s="6" t="s">
        <v>68</v>
      </c>
      <c r="M15" s="7"/>
      <c r="N15" s="8" t="n">
        <f aca="false">IF(M15&lt;&gt;"",M15-Summary!$C$3,IF(K15="","",K15-Summary!$C$3))</f>
        <v>-585</v>
      </c>
      <c r="O15" s="6" t="s">
        <v>4</v>
      </c>
      <c r="P15" s="6" t="s">
        <v>763</v>
      </c>
      <c r="Q15" s="6" t="s">
        <v>764</v>
      </c>
      <c r="R15" s="6" t="s">
        <v>765</v>
      </c>
      <c r="S15" s="6" t="s">
        <v>766</v>
      </c>
      <c r="T15" s="6" t="s">
        <v>89</v>
      </c>
      <c r="U15" s="6" t="s">
        <v>89</v>
      </c>
      <c r="V15" s="6" t="s">
        <v>89</v>
      </c>
      <c r="W15" s="6" t="s">
        <v>767</v>
      </c>
      <c r="X15" s="6" t="s">
        <v>768</v>
      </c>
      <c r="Y15" s="6" t="s">
        <v>769</v>
      </c>
      <c r="Z15" s="6" t="s">
        <v>128</v>
      </c>
      <c r="AA15" s="6" t="s">
        <v>80</v>
      </c>
    </row>
    <row r="16" customFormat="false" ht="74.6" hidden="false" customHeight="false" outlineLevel="0" collapsed="false">
      <c r="A16" s="6" t="s">
        <v>1922</v>
      </c>
      <c r="B16" s="6" t="s">
        <v>1923</v>
      </c>
      <c r="C16" s="6" t="s">
        <v>1922</v>
      </c>
      <c r="D16" s="6" t="s">
        <v>1924</v>
      </c>
      <c r="E16" s="6" t="s">
        <v>21</v>
      </c>
      <c r="F16" s="6" t="s">
        <v>289</v>
      </c>
      <c r="G16" s="6" t="s">
        <v>122</v>
      </c>
      <c r="H16" s="6" t="s">
        <v>568</v>
      </c>
      <c r="I16" s="6" t="s">
        <v>1925</v>
      </c>
      <c r="J16" s="6" t="s">
        <v>1926</v>
      </c>
      <c r="K16" s="7" t="n">
        <v>45761</v>
      </c>
      <c r="L16" s="6" t="s">
        <v>68</v>
      </c>
      <c r="M16" s="7"/>
      <c r="N16" s="8" t="n">
        <f aca="false">IF(M16&lt;&gt;"",M16-Summary!$C$3,IF(K16="","",K16-Summary!$C$3))</f>
        <v>-544</v>
      </c>
      <c r="O16" s="6" t="s">
        <v>6</v>
      </c>
      <c r="P16" s="6" t="s">
        <v>69</v>
      </c>
      <c r="Q16" s="6" t="s">
        <v>584</v>
      </c>
      <c r="R16" s="6" t="s">
        <v>1927</v>
      </c>
      <c r="S16" s="6" t="s">
        <v>1928</v>
      </c>
      <c r="T16" s="6" t="s">
        <v>1929</v>
      </c>
      <c r="U16" s="6" t="s">
        <v>89</v>
      </c>
      <c r="V16" s="6" t="s">
        <v>1930</v>
      </c>
      <c r="W16" s="6" t="s">
        <v>1931</v>
      </c>
      <c r="X16" s="6" t="s">
        <v>1932</v>
      </c>
      <c r="Y16" s="6" t="s">
        <v>1933</v>
      </c>
      <c r="Z16" s="6" t="s">
        <v>79</v>
      </c>
      <c r="AA16" s="6" t="s">
        <v>80</v>
      </c>
    </row>
    <row r="17" customFormat="false" ht="53.7" hidden="false" customHeight="false" outlineLevel="0" collapsed="false">
      <c r="A17" s="6" t="s">
        <v>578</v>
      </c>
      <c r="B17" s="6" t="s">
        <v>579</v>
      </c>
      <c r="C17" s="6" t="s">
        <v>580</v>
      </c>
      <c r="D17" s="6" t="s">
        <v>581</v>
      </c>
      <c r="E17" s="6" t="s">
        <v>21</v>
      </c>
      <c r="F17" s="6" t="s">
        <v>147</v>
      </c>
      <c r="G17" s="6" t="s">
        <v>122</v>
      </c>
      <c r="H17" s="6" t="s">
        <v>568</v>
      </c>
      <c r="I17" s="6" t="s">
        <v>582</v>
      </c>
      <c r="J17" s="6" t="s">
        <v>583</v>
      </c>
      <c r="K17" s="7" t="n">
        <v>45765</v>
      </c>
      <c r="L17" s="6" t="s">
        <v>68</v>
      </c>
      <c r="M17" s="7"/>
      <c r="N17" s="8" t="n">
        <f aca="false">IF(M17&lt;&gt;"",M17-Summary!$C$3,IF(K17="","",K17-Summary!$C$3))</f>
        <v>-540</v>
      </c>
      <c r="O17" s="6" t="s">
        <v>4</v>
      </c>
      <c r="P17" s="6" t="s">
        <v>69</v>
      </c>
      <c r="Q17" s="6" t="s">
        <v>584</v>
      </c>
      <c r="R17" s="6" t="s">
        <v>326</v>
      </c>
      <c r="S17" s="6" t="s">
        <v>585</v>
      </c>
      <c r="T17" s="6" t="s">
        <v>586</v>
      </c>
      <c r="U17" s="6" t="s">
        <v>216</v>
      </c>
      <c r="V17" s="6" t="s">
        <v>587</v>
      </c>
      <c r="W17" s="6" t="s">
        <v>588</v>
      </c>
      <c r="X17" s="6" t="s">
        <v>589</v>
      </c>
      <c r="Y17" s="6" t="s">
        <v>590</v>
      </c>
      <c r="Z17" s="6" t="s">
        <v>79</v>
      </c>
      <c r="AA17" s="6" t="s">
        <v>80</v>
      </c>
    </row>
    <row r="18" customFormat="false" ht="53.7" hidden="false" customHeight="false" outlineLevel="0" collapsed="false">
      <c r="A18" s="6" t="s">
        <v>728</v>
      </c>
      <c r="B18" s="6" t="s">
        <v>729</v>
      </c>
      <c r="C18" s="6" t="s">
        <v>730</v>
      </c>
      <c r="D18" s="6" t="s">
        <v>731</v>
      </c>
      <c r="E18" s="6" t="s">
        <v>21</v>
      </c>
      <c r="F18" s="6" t="s">
        <v>147</v>
      </c>
      <c r="G18" s="6" t="s">
        <v>122</v>
      </c>
      <c r="H18" s="6" t="s">
        <v>568</v>
      </c>
      <c r="I18" s="6" t="s">
        <v>732</v>
      </c>
      <c r="J18" s="6" t="s">
        <v>733</v>
      </c>
      <c r="K18" s="7" t="n">
        <v>45777</v>
      </c>
      <c r="L18" s="6" t="s">
        <v>68</v>
      </c>
      <c r="M18" s="7"/>
      <c r="N18" s="8" t="n">
        <f aca="false">IF(M18&lt;&gt;"",M18-Summary!$C$3,IF(K18="","",K18-Summary!$C$3))</f>
        <v>-528</v>
      </c>
      <c r="O18" s="6" t="s">
        <v>4</v>
      </c>
      <c r="P18" s="6" t="s">
        <v>734</v>
      </c>
      <c r="Q18" s="6" t="s">
        <v>735</v>
      </c>
      <c r="R18" s="6" t="s">
        <v>736</v>
      </c>
      <c r="S18" s="6" t="s">
        <v>737</v>
      </c>
      <c r="T18" s="6" t="s">
        <v>738</v>
      </c>
      <c r="U18" s="6" t="s">
        <v>89</v>
      </c>
      <c r="V18" s="6" t="s">
        <v>739</v>
      </c>
      <c r="W18" s="6" t="s">
        <v>740</v>
      </c>
      <c r="X18" s="6" t="s">
        <v>741</v>
      </c>
      <c r="Y18" s="6" t="s">
        <v>742</v>
      </c>
      <c r="Z18" s="6" t="s">
        <v>128</v>
      </c>
      <c r="AA18" s="6" t="s">
        <v>194</v>
      </c>
    </row>
    <row r="19" customFormat="false" ht="53.7" hidden="false" customHeight="false" outlineLevel="0" collapsed="false">
      <c r="A19" s="6" t="s">
        <v>1950</v>
      </c>
      <c r="B19" s="6" t="s">
        <v>1951</v>
      </c>
      <c r="C19" s="6" t="s">
        <v>1952</v>
      </c>
      <c r="D19" s="6" t="s">
        <v>1953</v>
      </c>
      <c r="E19" s="6" t="s">
        <v>17</v>
      </c>
      <c r="F19" s="6" t="s">
        <v>147</v>
      </c>
      <c r="G19" s="6" t="s">
        <v>122</v>
      </c>
      <c r="H19" s="6" t="s">
        <v>988</v>
      </c>
      <c r="I19" s="6" t="s">
        <v>1954</v>
      </c>
      <c r="J19" s="6" t="s">
        <v>1955</v>
      </c>
      <c r="K19" s="7" t="n">
        <v>45930</v>
      </c>
      <c r="L19" s="6" t="s">
        <v>68</v>
      </c>
      <c r="M19" s="7"/>
      <c r="N19" s="8" t="n">
        <f aca="false">IF(M19&lt;&gt;"",M19-Summary!$C$3,IF(K19="","",K19-Summary!$C$3))</f>
        <v>-375</v>
      </c>
      <c r="O19" s="6" t="s">
        <v>6</v>
      </c>
      <c r="P19" s="6" t="s">
        <v>1956</v>
      </c>
      <c r="Q19" s="6" t="s">
        <v>1957</v>
      </c>
      <c r="R19" s="6" t="s">
        <v>1958</v>
      </c>
      <c r="S19" s="6" t="s">
        <v>1959</v>
      </c>
      <c r="T19" s="6" t="s">
        <v>89</v>
      </c>
      <c r="U19" s="6" t="s">
        <v>89</v>
      </c>
      <c r="V19" s="6" t="s">
        <v>89</v>
      </c>
      <c r="W19" s="6" t="s">
        <v>89</v>
      </c>
      <c r="X19" s="6" t="s">
        <v>1960</v>
      </c>
      <c r="Y19" s="6" t="s">
        <v>1961</v>
      </c>
      <c r="Z19" s="6" t="s">
        <v>79</v>
      </c>
      <c r="AA19" s="6" t="s">
        <v>80</v>
      </c>
    </row>
    <row r="20" customFormat="false" ht="43.25" hidden="false" customHeight="false" outlineLevel="0" collapsed="false">
      <c r="A20" s="6" t="s">
        <v>436</v>
      </c>
      <c r="B20" s="6" t="s">
        <v>437</v>
      </c>
      <c r="C20" s="6" t="s">
        <v>436</v>
      </c>
      <c r="D20" s="6" t="s">
        <v>1934</v>
      </c>
      <c r="E20" s="6" t="s">
        <v>26</v>
      </c>
      <c r="F20" s="6" t="s">
        <v>1935</v>
      </c>
      <c r="G20" s="6" t="s">
        <v>122</v>
      </c>
      <c r="H20" s="6" t="s">
        <v>65</v>
      </c>
      <c r="I20" s="6" t="s">
        <v>1936</v>
      </c>
      <c r="J20" s="6" t="s">
        <v>1937</v>
      </c>
      <c r="K20" s="7" t="n">
        <v>45991</v>
      </c>
      <c r="L20" s="6" t="s">
        <v>68</v>
      </c>
      <c r="M20" s="7"/>
      <c r="N20" s="8" t="n">
        <f aca="false">IF(M20&lt;&gt;"",M20-Summary!$C$3,IF(K20="","",K20-Summary!$C$3))</f>
        <v>-314</v>
      </c>
      <c r="O20" s="6" t="s">
        <v>6</v>
      </c>
      <c r="P20" s="6" t="s">
        <v>776</v>
      </c>
      <c r="Q20" s="6" t="s">
        <v>1938</v>
      </c>
      <c r="R20" s="6" t="s">
        <v>1939</v>
      </c>
      <c r="S20" s="6" t="s">
        <v>1940</v>
      </c>
      <c r="T20" s="6" t="s">
        <v>89</v>
      </c>
      <c r="U20" s="6" t="s">
        <v>89</v>
      </c>
      <c r="V20" s="6" t="s">
        <v>89</v>
      </c>
      <c r="W20" s="6" t="s">
        <v>1294</v>
      </c>
      <c r="X20" s="6" t="s">
        <v>1941</v>
      </c>
      <c r="Y20" s="6" t="s">
        <v>1942</v>
      </c>
      <c r="Z20" s="6" t="s">
        <v>128</v>
      </c>
      <c r="AA20" s="6" t="s">
        <v>194</v>
      </c>
    </row>
    <row r="21" customFormat="false" ht="43.25" hidden="false" customHeight="false" outlineLevel="0" collapsed="false">
      <c r="A21" s="6" t="s">
        <v>550</v>
      </c>
      <c r="B21" s="6" t="s">
        <v>551</v>
      </c>
      <c r="C21" s="6" t="s">
        <v>550</v>
      </c>
      <c r="D21" s="6" t="s">
        <v>1943</v>
      </c>
      <c r="E21" s="6" t="s">
        <v>17</v>
      </c>
      <c r="F21" s="6" t="s">
        <v>427</v>
      </c>
      <c r="G21" s="6" t="s">
        <v>122</v>
      </c>
      <c r="H21" s="6" t="s">
        <v>1944</v>
      </c>
      <c r="I21" s="6" t="s">
        <v>1945</v>
      </c>
      <c r="J21" s="6" t="s">
        <v>1946</v>
      </c>
      <c r="K21" s="7" t="n">
        <v>46123</v>
      </c>
      <c r="L21" s="6" t="s">
        <v>68</v>
      </c>
      <c r="M21" s="7"/>
      <c r="N21" s="8" t="n">
        <f aca="false">IF(M21&lt;&gt;"",M21-Summary!$C$3,IF(K21="","",K21-Summary!$C$3))</f>
        <v>-182</v>
      </c>
      <c r="O21" s="6" t="s">
        <v>6</v>
      </c>
      <c r="P21" s="6" t="s">
        <v>89</v>
      </c>
      <c r="Q21" s="6" t="s">
        <v>1947</v>
      </c>
      <c r="R21" s="6" t="s">
        <v>89</v>
      </c>
      <c r="S21" s="6" t="s">
        <v>1948</v>
      </c>
      <c r="T21" s="6" t="s">
        <v>89</v>
      </c>
      <c r="U21" s="6" t="s">
        <v>89</v>
      </c>
      <c r="V21" s="6" t="s">
        <v>89</v>
      </c>
      <c r="W21" s="6" t="s">
        <v>89</v>
      </c>
      <c r="X21" s="6" t="s">
        <v>89</v>
      </c>
      <c r="Y21" s="6" t="s">
        <v>1949</v>
      </c>
      <c r="Z21" s="6" t="s">
        <v>128</v>
      </c>
      <c r="AA21" s="6" t="s">
        <v>80</v>
      </c>
    </row>
    <row r="22" customFormat="false" ht="53.7" hidden="false" customHeight="false" outlineLevel="0" collapsed="false">
      <c r="A22" s="6" t="s">
        <v>1233</v>
      </c>
      <c r="B22" s="6" t="s">
        <v>1234</v>
      </c>
      <c r="C22" s="6" t="s">
        <v>1235</v>
      </c>
      <c r="D22" s="6" t="s">
        <v>1236</v>
      </c>
      <c r="E22" s="6" t="s">
        <v>26</v>
      </c>
      <c r="F22" s="6" t="s">
        <v>1237</v>
      </c>
      <c r="G22" s="6" t="s">
        <v>122</v>
      </c>
      <c r="H22" s="6" t="s">
        <v>65</v>
      </c>
      <c r="I22" s="6" t="s">
        <v>809</v>
      </c>
      <c r="J22" s="6" t="s">
        <v>1238</v>
      </c>
      <c r="K22" s="7" t="n">
        <v>46203</v>
      </c>
      <c r="L22" s="6" t="s">
        <v>68</v>
      </c>
      <c r="M22" s="7"/>
      <c r="N22" s="8" t="n">
        <f aca="false">IF(M22&lt;&gt;"",M22-Summary!$C$3,IF(K22="","",K22-Summary!$C$3))</f>
        <v>-102</v>
      </c>
      <c r="O22" s="6" t="s">
        <v>4</v>
      </c>
      <c r="P22" s="6" t="s">
        <v>1239</v>
      </c>
      <c r="Q22" s="6" t="s">
        <v>1240</v>
      </c>
      <c r="R22" s="6" t="s">
        <v>1241</v>
      </c>
      <c r="S22" s="6" t="s">
        <v>1242</v>
      </c>
      <c r="T22" s="6" t="s">
        <v>89</v>
      </c>
      <c r="U22" s="6" t="s">
        <v>89</v>
      </c>
      <c r="V22" s="6" t="s">
        <v>845</v>
      </c>
      <c r="W22" s="6" t="s">
        <v>1243</v>
      </c>
      <c r="X22" s="6" t="s">
        <v>1244</v>
      </c>
      <c r="Y22" s="6" t="s">
        <v>1245</v>
      </c>
      <c r="Z22" s="6" t="s">
        <v>128</v>
      </c>
      <c r="AA22" s="6" t="s">
        <v>80</v>
      </c>
    </row>
    <row r="23" customFormat="false" ht="74.6" hidden="false" customHeight="false" outlineLevel="0" collapsed="false">
      <c r="A23" s="6" t="s">
        <v>983</v>
      </c>
      <c r="B23" s="6" t="s">
        <v>984</v>
      </c>
      <c r="C23" s="6" t="s">
        <v>985</v>
      </c>
      <c r="D23" s="6" t="s">
        <v>1988</v>
      </c>
      <c r="E23" s="6" t="s">
        <v>26</v>
      </c>
      <c r="F23" s="6" t="s">
        <v>1989</v>
      </c>
      <c r="G23" s="6" t="s">
        <v>1990</v>
      </c>
      <c r="H23" s="6" t="s">
        <v>568</v>
      </c>
      <c r="I23" s="6" t="s">
        <v>1991</v>
      </c>
      <c r="J23" s="6" t="s">
        <v>1992</v>
      </c>
      <c r="K23" s="7" t="n">
        <v>46203</v>
      </c>
      <c r="L23" s="6" t="s">
        <v>68</v>
      </c>
      <c r="M23" s="7"/>
      <c r="N23" s="8" t="n">
        <f aca="false">IF(M23&lt;&gt;"",M23-Summary!$C$3,IF(K23="","",K23-Summary!$C$3))</f>
        <v>-102</v>
      </c>
      <c r="O23" s="6" t="s">
        <v>6</v>
      </c>
      <c r="P23" s="6" t="s">
        <v>150</v>
      </c>
      <c r="Q23" s="6" t="s">
        <v>1993</v>
      </c>
      <c r="R23" s="6" t="s">
        <v>1994</v>
      </c>
      <c r="S23" s="6" t="s">
        <v>1995</v>
      </c>
      <c r="T23" s="6" t="s">
        <v>1996</v>
      </c>
      <c r="U23" s="6" t="s">
        <v>1997</v>
      </c>
      <c r="V23" s="6" t="s">
        <v>1998</v>
      </c>
      <c r="W23" s="6" t="s">
        <v>1999</v>
      </c>
      <c r="X23" s="6" t="s">
        <v>2000</v>
      </c>
      <c r="Y23" s="6" t="s">
        <v>2001</v>
      </c>
      <c r="Z23" s="6" t="s">
        <v>128</v>
      </c>
      <c r="AA23" s="6" t="s">
        <v>194</v>
      </c>
    </row>
    <row r="24" customFormat="false" ht="53.7" hidden="false" customHeight="false" outlineLevel="0" collapsed="false">
      <c r="A24" s="6" t="s">
        <v>1808</v>
      </c>
      <c r="B24" s="6" t="s">
        <v>1809</v>
      </c>
      <c r="C24" s="6" t="s">
        <v>1810</v>
      </c>
      <c r="D24" s="6" t="s">
        <v>1811</v>
      </c>
      <c r="E24" s="6" t="s">
        <v>20</v>
      </c>
      <c r="F24" s="6" t="s">
        <v>224</v>
      </c>
      <c r="G24" s="6" t="s">
        <v>682</v>
      </c>
      <c r="H24" s="6" t="s">
        <v>65</v>
      </c>
      <c r="I24" s="6" t="s">
        <v>1812</v>
      </c>
      <c r="J24" s="6" t="s">
        <v>1813</v>
      </c>
      <c r="K24" s="7" t="n">
        <v>46204</v>
      </c>
      <c r="L24" s="6" t="s">
        <v>68</v>
      </c>
      <c r="M24" s="7"/>
      <c r="N24" s="8" t="n">
        <f aca="false">IF(M24&lt;&gt;"",M24-Summary!$C$3,IF(K24="","",K24-Summary!$C$3))</f>
        <v>-101</v>
      </c>
      <c r="O24" s="6" t="s">
        <v>5</v>
      </c>
      <c r="P24" s="6" t="s">
        <v>89</v>
      </c>
      <c r="Q24" s="6" t="s">
        <v>110</v>
      </c>
      <c r="R24" s="6" t="s">
        <v>1814</v>
      </c>
      <c r="S24" s="6" t="s">
        <v>1815</v>
      </c>
      <c r="T24" s="6" t="s">
        <v>89</v>
      </c>
      <c r="U24" s="6" t="s">
        <v>89</v>
      </c>
      <c r="V24" s="6" t="s">
        <v>1816</v>
      </c>
      <c r="W24" s="6" t="s">
        <v>89</v>
      </c>
      <c r="X24" s="6" t="s">
        <v>1817</v>
      </c>
      <c r="Y24" s="6" t="s">
        <v>1818</v>
      </c>
      <c r="Z24" s="6" t="s">
        <v>128</v>
      </c>
      <c r="AA24" s="6" t="s">
        <v>194</v>
      </c>
    </row>
    <row r="25" customFormat="false" ht="53.7" hidden="false" customHeight="false" outlineLevel="0" collapsed="false">
      <c r="A25" s="6" t="s">
        <v>654</v>
      </c>
      <c r="B25" s="6" t="s">
        <v>1826</v>
      </c>
      <c r="C25" s="6" t="s">
        <v>1826</v>
      </c>
      <c r="D25" s="6" t="s">
        <v>1827</v>
      </c>
      <c r="E25" s="6" t="s">
        <v>20</v>
      </c>
      <c r="F25" s="6" t="s">
        <v>224</v>
      </c>
      <c r="G25" s="6" t="s">
        <v>682</v>
      </c>
      <c r="H25" s="6" t="s">
        <v>65</v>
      </c>
      <c r="I25" s="6" t="s">
        <v>1828</v>
      </c>
      <c r="J25" s="6" t="s">
        <v>1829</v>
      </c>
      <c r="K25" s="7" t="n">
        <v>46204</v>
      </c>
      <c r="L25" s="6" t="s">
        <v>68</v>
      </c>
      <c r="M25" s="7"/>
      <c r="N25" s="8" t="n">
        <f aca="false">IF(M25&lt;&gt;"",M25-Summary!$C$3,IF(K25="","",K25-Summary!$C$3))</f>
        <v>-101</v>
      </c>
      <c r="O25" s="6" t="s">
        <v>5</v>
      </c>
      <c r="P25" s="6" t="s">
        <v>89</v>
      </c>
      <c r="Q25" s="6" t="s">
        <v>89</v>
      </c>
      <c r="R25" s="6" t="s">
        <v>693</v>
      </c>
      <c r="S25" s="6" t="s">
        <v>694</v>
      </c>
      <c r="T25" s="6" t="s">
        <v>89</v>
      </c>
      <c r="U25" s="6" t="s">
        <v>89</v>
      </c>
      <c r="V25" s="6" t="s">
        <v>695</v>
      </c>
      <c r="W25" s="6" t="s">
        <v>89</v>
      </c>
      <c r="X25" s="6" t="s">
        <v>89</v>
      </c>
      <c r="Y25" s="6" t="s">
        <v>1830</v>
      </c>
      <c r="Z25" s="6" t="s">
        <v>128</v>
      </c>
      <c r="AA25" s="6" t="s">
        <v>80</v>
      </c>
    </row>
    <row r="26" customFormat="false" ht="53.7" hidden="false" customHeight="false" outlineLevel="0" collapsed="false">
      <c r="A26" s="6" t="s">
        <v>654</v>
      </c>
      <c r="B26" s="6" t="s">
        <v>1831</v>
      </c>
      <c r="C26" s="6" t="s">
        <v>1832</v>
      </c>
      <c r="D26" s="6" t="s">
        <v>1833</v>
      </c>
      <c r="E26" s="6" t="s">
        <v>20</v>
      </c>
      <c r="F26" s="6" t="s">
        <v>224</v>
      </c>
      <c r="G26" s="6" t="s">
        <v>682</v>
      </c>
      <c r="H26" s="6" t="s">
        <v>65</v>
      </c>
      <c r="I26" s="6" t="s">
        <v>1834</v>
      </c>
      <c r="J26" s="6" t="s">
        <v>1835</v>
      </c>
      <c r="K26" s="7" t="n">
        <v>46204</v>
      </c>
      <c r="L26" s="6" t="s">
        <v>68</v>
      </c>
      <c r="M26" s="7"/>
      <c r="N26" s="8" t="n">
        <f aca="false">IF(M26&lt;&gt;"",M26-Summary!$C$3,IF(K26="","",K26-Summary!$C$3))</f>
        <v>-101</v>
      </c>
      <c r="O26" s="6" t="s">
        <v>5</v>
      </c>
      <c r="P26" s="6" t="s">
        <v>89</v>
      </c>
      <c r="Q26" s="6" t="s">
        <v>89</v>
      </c>
      <c r="R26" s="6" t="s">
        <v>1836</v>
      </c>
      <c r="S26" s="6" t="s">
        <v>1815</v>
      </c>
      <c r="T26" s="6" t="s">
        <v>89</v>
      </c>
      <c r="U26" s="6" t="s">
        <v>89</v>
      </c>
      <c r="V26" s="6" t="s">
        <v>1837</v>
      </c>
      <c r="W26" s="6" t="s">
        <v>89</v>
      </c>
      <c r="X26" s="6" t="s">
        <v>1838</v>
      </c>
      <c r="Y26" s="6" t="s">
        <v>1839</v>
      </c>
      <c r="Z26" s="6" t="s">
        <v>128</v>
      </c>
      <c r="AA26" s="6" t="s">
        <v>194</v>
      </c>
    </row>
    <row r="27" customFormat="false" ht="43.25" hidden="false" customHeight="false" outlineLevel="0" collapsed="false">
      <c r="A27" s="6" t="s">
        <v>1840</v>
      </c>
      <c r="B27" s="6" t="s">
        <v>1841</v>
      </c>
      <c r="C27" s="6" t="s">
        <v>1842</v>
      </c>
      <c r="D27" s="6" t="s">
        <v>1843</v>
      </c>
      <c r="E27" s="6" t="s">
        <v>20</v>
      </c>
      <c r="F27" s="6" t="s">
        <v>224</v>
      </c>
      <c r="G27" s="6" t="s">
        <v>682</v>
      </c>
      <c r="H27" s="6" t="s">
        <v>65</v>
      </c>
      <c r="I27" s="6" t="s">
        <v>1844</v>
      </c>
      <c r="J27" s="6" t="s">
        <v>1813</v>
      </c>
      <c r="K27" s="7" t="n">
        <v>46204</v>
      </c>
      <c r="L27" s="6" t="s">
        <v>68</v>
      </c>
      <c r="M27" s="7"/>
      <c r="N27" s="8" t="n">
        <f aca="false">IF(M27&lt;&gt;"",M27-Summary!$C$3,IF(K27="","",K27-Summary!$C$3))</f>
        <v>-101</v>
      </c>
      <c r="O27" s="6" t="s">
        <v>5</v>
      </c>
      <c r="P27" s="6" t="s">
        <v>1802</v>
      </c>
      <c r="Q27" s="6" t="s">
        <v>89</v>
      </c>
      <c r="R27" s="6" t="s">
        <v>1845</v>
      </c>
      <c r="S27" s="6" t="s">
        <v>1804</v>
      </c>
      <c r="T27" s="6" t="s">
        <v>89</v>
      </c>
      <c r="U27" s="6" t="s">
        <v>89</v>
      </c>
      <c r="V27" s="6" t="s">
        <v>1846</v>
      </c>
      <c r="W27" s="6" t="s">
        <v>89</v>
      </c>
      <c r="X27" s="6" t="s">
        <v>1806</v>
      </c>
      <c r="Y27" s="6" t="s">
        <v>1847</v>
      </c>
      <c r="Z27" s="6" t="s">
        <v>128</v>
      </c>
      <c r="AA27" s="6" t="s">
        <v>80</v>
      </c>
    </row>
    <row r="28" customFormat="false" ht="53.7" hidden="false" customHeight="false" outlineLevel="0" collapsed="false">
      <c r="A28" s="6" t="s">
        <v>1848</v>
      </c>
      <c r="B28" s="6" t="s">
        <v>1849</v>
      </c>
      <c r="C28" s="6" t="s">
        <v>1850</v>
      </c>
      <c r="D28" s="6" t="s">
        <v>1851</v>
      </c>
      <c r="E28" s="6" t="s">
        <v>20</v>
      </c>
      <c r="F28" s="6" t="s">
        <v>224</v>
      </c>
      <c r="G28" s="6" t="s">
        <v>682</v>
      </c>
      <c r="H28" s="6" t="s">
        <v>65</v>
      </c>
      <c r="I28" s="6" t="s">
        <v>1852</v>
      </c>
      <c r="J28" s="6" t="s">
        <v>1853</v>
      </c>
      <c r="K28" s="7" t="n">
        <v>46204</v>
      </c>
      <c r="L28" s="6" t="s">
        <v>68</v>
      </c>
      <c r="M28" s="7"/>
      <c r="N28" s="8" t="n">
        <f aca="false">IF(M28&lt;&gt;"",M28-Summary!$C$3,IF(K28="","",K28-Summary!$C$3))</f>
        <v>-101</v>
      </c>
      <c r="O28" s="6" t="s">
        <v>5</v>
      </c>
      <c r="P28" s="6" t="s">
        <v>1788</v>
      </c>
      <c r="Q28" s="6" t="s">
        <v>1789</v>
      </c>
      <c r="R28" s="6" t="s">
        <v>1854</v>
      </c>
      <c r="S28" s="6" t="s">
        <v>1855</v>
      </c>
      <c r="T28" s="6" t="s">
        <v>89</v>
      </c>
      <c r="U28" s="6" t="s">
        <v>1856</v>
      </c>
      <c r="V28" s="6" t="s">
        <v>1857</v>
      </c>
      <c r="W28" s="6" t="s">
        <v>89</v>
      </c>
      <c r="X28" s="6" t="s">
        <v>1794</v>
      </c>
      <c r="Y28" s="6" t="s">
        <v>1858</v>
      </c>
      <c r="Z28" s="6" t="s">
        <v>128</v>
      </c>
      <c r="AA28" s="6" t="s">
        <v>194</v>
      </c>
    </row>
    <row r="29" customFormat="false" ht="53.7" hidden="false" customHeight="false" outlineLevel="0" collapsed="false">
      <c r="A29" s="6" t="s">
        <v>1859</v>
      </c>
      <c r="B29" s="6" t="s">
        <v>1860</v>
      </c>
      <c r="C29" s="6" t="s">
        <v>1859</v>
      </c>
      <c r="D29" s="6" t="s">
        <v>1861</v>
      </c>
      <c r="E29" s="6" t="s">
        <v>20</v>
      </c>
      <c r="F29" s="6" t="s">
        <v>224</v>
      </c>
      <c r="G29" s="6" t="s">
        <v>682</v>
      </c>
      <c r="H29" s="6" t="s">
        <v>344</v>
      </c>
      <c r="I29" s="6" t="s">
        <v>1862</v>
      </c>
      <c r="J29" s="6" t="s">
        <v>1853</v>
      </c>
      <c r="K29" s="7" t="n">
        <v>46204</v>
      </c>
      <c r="L29" s="6" t="s">
        <v>68</v>
      </c>
      <c r="M29" s="7"/>
      <c r="N29" s="8" t="n">
        <f aca="false">IF(M29&lt;&gt;"",M29-Summary!$C$3,IF(K29="","",K29-Summary!$C$3))</f>
        <v>-101</v>
      </c>
      <c r="O29" s="6" t="s">
        <v>5</v>
      </c>
      <c r="P29" s="6" t="s">
        <v>1788</v>
      </c>
      <c r="Q29" s="6" t="s">
        <v>1789</v>
      </c>
      <c r="R29" s="6" t="s">
        <v>1854</v>
      </c>
      <c r="S29" s="6" t="s">
        <v>1855</v>
      </c>
      <c r="T29" s="6" t="s">
        <v>89</v>
      </c>
      <c r="U29" s="6" t="s">
        <v>1856</v>
      </c>
      <c r="V29" s="6" t="s">
        <v>1857</v>
      </c>
      <c r="W29" s="6" t="s">
        <v>89</v>
      </c>
      <c r="X29" s="6" t="s">
        <v>1794</v>
      </c>
      <c r="Y29" s="6" t="s">
        <v>1863</v>
      </c>
      <c r="Z29" s="6" t="s">
        <v>128</v>
      </c>
      <c r="AA29" s="6" t="s">
        <v>194</v>
      </c>
    </row>
    <row r="30" customFormat="false" ht="53.7" hidden="false" customHeight="false" outlineLevel="0" collapsed="false">
      <c r="A30" s="6" t="s">
        <v>1864</v>
      </c>
      <c r="B30" s="6" t="s">
        <v>1864</v>
      </c>
      <c r="C30" s="6" t="s">
        <v>1865</v>
      </c>
      <c r="D30" s="6" t="s">
        <v>1866</v>
      </c>
      <c r="E30" s="6" t="s">
        <v>20</v>
      </c>
      <c r="F30" s="6" t="s">
        <v>224</v>
      </c>
      <c r="G30" s="6" t="s">
        <v>682</v>
      </c>
      <c r="H30" s="6" t="s">
        <v>65</v>
      </c>
      <c r="I30" s="6" t="s">
        <v>1867</v>
      </c>
      <c r="J30" s="6" t="s">
        <v>1813</v>
      </c>
      <c r="K30" s="7" t="n">
        <v>46204</v>
      </c>
      <c r="L30" s="6" t="s">
        <v>68</v>
      </c>
      <c r="M30" s="7"/>
      <c r="N30" s="8" t="n">
        <f aca="false">IF(M30&lt;&gt;"",M30-Summary!$C$3,IF(K30="","",K30-Summary!$C$3))</f>
        <v>-101</v>
      </c>
      <c r="O30" s="6" t="s">
        <v>5</v>
      </c>
      <c r="P30" s="6" t="s">
        <v>89</v>
      </c>
      <c r="Q30" s="6" t="s">
        <v>110</v>
      </c>
      <c r="R30" s="6" t="s">
        <v>1868</v>
      </c>
      <c r="S30" s="6" t="s">
        <v>1815</v>
      </c>
      <c r="T30" s="6" t="s">
        <v>89</v>
      </c>
      <c r="U30" s="6" t="s">
        <v>89</v>
      </c>
      <c r="V30" s="6" t="s">
        <v>1869</v>
      </c>
      <c r="W30" s="6" t="s">
        <v>89</v>
      </c>
      <c r="X30" s="6" t="s">
        <v>1817</v>
      </c>
      <c r="Y30" s="6" t="s">
        <v>1870</v>
      </c>
      <c r="Z30" s="6" t="s">
        <v>1871</v>
      </c>
      <c r="AA30" s="6" t="s">
        <v>194</v>
      </c>
    </row>
    <row r="31" customFormat="false" ht="64.15" hidden="false" customHeight="false" outlineLevel="0" collapsed="false">
      <c r="A31" s="6" t="s">
        <v>1872</v>
      </c>
      <c r="B31" s="6" t="s">
        <v>1873</v>
      </c>
      <c r="C31" s="6" t="s">
        <v>1872</v>
      </c>
      <c r="D31" s="6" t="s">
        <v>1874</v>
      </c>
      <c r="E31" s="6" t="s">
        <v>20</v>
      </c>
      <c r="F31" s="6" t="s">
        <v>224</v>
      </c>
      <c r="G31" s="6" t="s">
        <v>682</v>
      </c>
      <c r="H31" s="6" t="s">
        <v>65</v>
      </c>
      <c r="I31" s="6" t="s">
        <v>1875</v>
      </c>
      <c r="J31" s="6" t="s">
        <v>1876</v>
      </c>
      <c r="K31" s="7" t="n">
        <v>46204</v>
      </c>
      <c r="L31" s="6" t="s">
        <v>68</v>
      </c>
      <c r="M31" s="7"/>
      <c r="N31" s="8" t="n">
        <f aca="false">IF(M31&lt;&gt;"",M31-Summary!$C$3,IF(K31="","",K31-Summary!$C$3))</f>
        <v>-101</v>
      </c>
      <c r="O31" s="6" t="s">
        <v>5</v>
      </c>
      <c r="P31" s="6" t="s">
        <v>1877</v>
      </c>
      <c r="Q31" s="6" t="s">
        <v>89</v>
      </c>
      <c r="R31" s="6" t="s">
        <v>1878</v>
      </c>
      <c r="S31" s="6" t="s">
        <v>1879</v>
      </c>
      <c r="T31" s="6" t="s">
        <v>89</v>
      </c>
      <c r="U31" s="6" t="s">
        <v>89</v>
      </c>
      <c r="V31" s="6" t="s">
        <v>1880</v>
      </c>
      <c r="W31" s="6" t="s">
        <v>89</v>
      </c>
      <c r="X31" s="6" t="s">
        <v>89</v>
      </c>
      <c r="Y31" s="6" t="s">
        <v>1881</v>
      </c>
      <c r="Z31" s="6" t="s">
        <v>128</v>
      </c>
      <c r="AA31" s="6" t="s">
        <v>80</v>
      </c>
    </row>
    <row r="32" customFormat="false" ht="53.7" hidden="false" customHeight="false" outlineLevel="0" collapsed="false">
      <c r="A32" s="6" t="s">
        <v>1887</v>
      </c>
      <c r="B32" s="6" t="s">
        <v>1888</v>
      </c>
      <c r="C32" s="6" t="s">
        <v>1889</v>
      </c>
      <c r="D32" s="6" t="s">
        <v>1890</v>
      </c>
      <c r="E32" s="6" t="s">
        <v>20</v>
      </c>
      <c r="F32" s="6" t="s">
        <v>224</v>
      </c>
      <c r="G32" s="6" t="s">
        <v>682</v>
      </c>
      <c r="H32" s="6" t="s">
        <v>65</v>
      </c>
      <c r="I32" s="6" t="s">
        <v>1891</v>
      </c>
      <c r="J32" s="6" t="s">
        <v>1892</v>
      </c>
      <c r="K32" s="7" t="n">
        <v>46204</v>
      </c>
      <c r="L32" s="6" t="s">
        <v>68</v>
      </c>
      <c r="M32" s="7"/>
      <c r="N32" s="8" t="n">
        <f aca="false">IF(M32&lt;&gt;"",M32-Summary!$C$3,IF(K32="","",K32-Summary!$C$3))</f>
        <v>-101</v>
      </c>
      <c r="O32" s="6" t="s">
        <v>5</v>
      </c>
      <c r="P32" s="6" t="s">
        <v>89</v>
      </c>
      <c r="Q32" s="6" t="s">
        <v>89</v>
      </c>
      <c r="R32" s="6" t="s">
        <v>1893</v>
      </c>
      <c r="S32" s="6" t="s">
        <v>1855</v>
      </c>
      <c r="T32" s="6" t="s">
        <v>89</v>
      </c>
      <c r="U32" s="6" t="s">
        <v>89</v>
      </c>
      <c r="V32" s="6" t="s">
        <v>1894</v>
      </c>
      <c r="W32" s="6" t="s">
        <v>1895</v>
      </c>
      <c r="X32" s="6" t="s">
        <v>89</v>
      </c>
      <c r="Y32" s="6" t="s">
        <v>1896</v>
      </c>
      <c r="Z32" s="6" t="s">
        <v>128</v>
      </c>
      <c r="AA32" s="6" t="s">
        <v>194</v>
      </c>
    </row>
    <row r="33" customFormat="false" ht="64.15" hidden="false" customHeight="false" outlineLevel="0" collapsed="false">
      <c r="A33" s="6" t="s">
        <v>1897</v>
      </c>
      <c r="B33" s="6" t="s">
        <v>1897</v>
      </c>
      <c r="C33" s="6" t="s">
        <v>1898</v>
      </c>
      <c r="D33" s="6" t="s">
        <v>1899</v>
      </c>
      <c r="E33" s="6" t="s">
        <v>20</v>
      </c>
      <c r="F33" s="6" t="s">
        <v>224</v>
      </c>
      <c r="G33" s="6" t="s">
        <v>682</v>
      </c>
      <c r="H33" s="6" t="s">
        <v>65</v>
      </c>
      <c r="I33" s="6" t="s">
        <v>1900</v>
      </c>
      <c r="J33" s="6" t="s">
        <v>1813</v>
      </c>
      <c r="K33" s="7" t="n">
        <v>46204</v>
      </c>
      <c r="L33" s="6" t="s">
        <v>68</v>
      </c>
      <c r="M33" s="7"/>
      <c r="N33" s="8" t="n">
        <f aca="false">IF(M33&lt;&gt;"",M33-Summary!$C$3,IF(K33="","",K33-Summary!$C$3))</f>
        <v>-101</v>
      </c>
      <c r="O33" s="6" t="s">
        <v>5</v>
      </c>
      <c r="P33" s="6" t="s">
        <v>89</v>
      </c>
      <c r="Q33" s="6" t="s">
        <v>110</v>
      </c>
      <c r="R33" s="6" t="s">
        <v>1868</v>
      </c>
      <c r="S33" s="6" t="s">
        <v>1815</v>
      </c>
      <c r="T33" s="6" t="s">
        <v>89</v>
      </c>
      <c r="U33" s="6" t="s">
        <v>89</v>
      </c>
      <c r="V33" s="6" t="s">
        <v>1869</v>
      </c>
      <c r="W33" s="6" t="s">
        <v>89</v>
      </c>
      <c r="X33" s="6" t="s">
        <v>1817</v>
      </c>
      <c r="Y33" s="6" t="s">
        <v>1901</v>
      </c>
      <c r="Z33" s="6" t="s">
        <v>128</v>
      </c>
      <c r="AA33" s="6" t="s">
        <v>194</v>
      </c>
    </row>
    <row r="34" customFormat="false" ht="53.7" hidden="false" customHeight="false" outlineLevel="0" collapsed="false">
      <c r="A34" s="6" t="s">
        <v>1902</v>
      </c>
      <c r="B34" s="6" t="s">
        <v>1902</v>
      </c>
      <c r="C34" s="6" t="s">
        <v>1902</v>
      </c>
      <c r="D34" s="6" t="s">
        <v>1903</v>
      </c>
      <c r="E34" s="6" t="s">
        <v>20</v>
      </c>
      <c r="F34" s="6" t="s">
        <v>224</v>
      </c>
      <c r="G34" s="6" t="s">
        <v>682</v>
      </c>
      <c r="H34" s="6" t="s">
        <v>65</v>
      </c>
      <c r="I34" s="6" t="s">
        <v>1904</v>
      </c>
      <c r="J34" s="6" t="s">
        <v>1892</v>
      </c>
      <c r="K34" s="7" t="n">
        <v>46204</v>
      </c>
      <c r="L34" s="6" t="s">
        <v>68</v>
      </c>
      <c r="M34" s="7"/>
      <c r="N34" s="8" t="n">
        <f aca="false">IF(M34&lt;&gt;"",M34-Summary!$C$3,IF(K34="","",K34-Summary!$C$3))</f>
        <v>-101</v>
      </c>
      <c r="O34" s="6" t="s">
        <v>5</v>
      </c>
      <c r="P34" s="6" t="s">
        <v>89</v>
      </c>
      <c r="Q34" s="6" t="s">
        <v>89</v>
      </c>
      <c r="R34" s="6" t="s">
        <v>1893</v>
      </c>
      <c r="S34" s="6" t="s">
        <v>1855</v>
      </c>
      <c r="T34" s="6" t="s">
        <v>89</v>
      </c>
      <c r="U34" s="6" t="s">
        <v>89</v>
      </c>
      <c r="V34" s="6" t="s">
        <v>1905</v>
      </c>
      <c r="W34" s="6" t="s">
        <v>1895</v>
      </c>
      <c r="X34" s="6" t="s">
        <v>89</v>
      </c>
      <c r="Y34" s="6" t="s">
        <v>1906</v>
      </c>
      <c r="Z34" s="6" t="s">
        <v>128</v>
      </c>
      <c r="AA34" s="6" t="s">
        <v>194</v>
      </c>
    </row>
    <row r="35" customFormat="false" ht="53.7" hidden="false" customHeight="false" outlineLevel="0" collapsed="false">
      <c r="A35" s="6" t="s">
        <v>1907</v>
      </c>
      <c r="B35" s="6" t="s">
        <v>1908</v>
      </c>
      <c r="C35" s="6" t="s">
        <v>1909</v>
      </c>
      <c r="D35" s="6" t="s">
        <v>1910</v>
      </c>
      <c r="E35" s="6" t="s">
        <v>20</v>
      </c>
      <c r="F35" s="6" t="s">
        <v>224</v>
      </c>
      <c r="G35" s="6" t="s">
        <v>682</v>
      </c>
      <c r="H35" s="6" t="s">
        <v>65</v>
      </c>
      <c r="I35" s="6" t="s">
        <v>1911</v>
      </c>
      <c r="J35" s="6" t="s">
        <v>1892</v>
      </c>
      <c r="K35" s="7" t="n">
        <v>46204</v>
      </c>
      <c r="L35" s="6" t="s">
        <v>68</v>
      </c>
      <c r="M35" s="7"/>
      <c r="N35" s="8" t="n">
        <f aca="false">IF(M35&lt;&gt;"",M35-Summary!$C$3,IF(K35="","",K35-Summary!$C$3))</f>
        <v>-101</v>
      </c>
      <c r="O35" s="6" t="s">
        <v>5</v>
      </c>
      <c r="P35" s="6" t="s">
        <v>89</v>
      </c>
      <c r="Q35" s="6" t="s">
        <v>89</v>
      </c>
      <c r="R35" s="6" t="s">
        <v>1893</v>
      </c>
      <c r="S35" s="6" t="s">
        <v>1912</v>
      </c>
      <c r="T35" s="6" t="s">
        <v>89</v>
      </c>
      <c r="U35" s="6" t="s">
        <v>89</v>
      </c>
      <c r="V35" s="6" t="s">
        <v>1905</v>
      </c>
      <c r="W35" s="6" t="s">
        <v>1895</v>
      </c>
      <c r="X35" s="6" t="s">
        <v>89</v>
      </c>
      <c r="Y35" s="6" t="s">
        <v>1913</v>
      </c>
      <c r="Z35" s="6" t="s">
        <v>128</v>
      </c>
      <c r="AA35" s="6" t="s">
        <v>194</v>
      </c>
    </row>
    <row r="36" customFormat="false" ht="74.6" hidden="false" customHeight="false" outlineLevel="0" collapsed="false">
      <c r="A36" s="6" t="s">
        <v>1749</v>
      </c>
      <c r="B36" s="6" t="s">
        <v>1749</v>
      </c>
      <c r="C36" s="6" t="s">
        <v>1750</v>
      </c>
      <c r="D36" s="6" t="s">
        <v>1914</v>
      </c>
      <c r="E36" s="6" t="s">
        <v>20</v>
      </c>
      <c r="F36" s="6" t="s">
        <v>224</v>
      </c>
      <c r="G36" s="6" t="s">
        <v>682</v>
      </c>
      <c r="H36" s="6" t="s">
        <v>65</v>
      </c>
      <c r="I36" s="6" t="s">
        <v>1915</v>
      </c>
      <c r="J36" s="6" t="s">
        <v>1916</v>
      </c>
      <c r="K36" s="7" t="n">
        <v>46204</v>
      </c>
      <c r="L36" s="6" t="s">
        <v>68</v>
      </c>
      <c r="M36" s="7"/>
      <c r="N36" s="8" t="n">
        <f aca="false">IF(M36&lt;&gt;"",M36-Summary!$C$3,IF(K36="","",K36-Summary!$C$3))</f>
        <v>-101</v>
      </c>
      <c r="O36" s="6" t="s">
        <v>5</v>
      </c>
      <c r="P36" s="6" t="s">
        <v>89</v>
      </c>
      <c r="Q36" s="6" t="s">
        <v>89</v>
      </c>
      <c r="R36" s="6" t="s">
        <v>1917</v>
      </c>
      <c r="S36" s="6" t="s">
        <v>1815</v>
      </c>
      <c r="T36" s="6" t="s">
        <v>89</v>
      </c>
      <c r="U36" s="6" t="s">
        <v>1918</v>
      </c>
      <c r="V36" s="6" t="s">
        <v>1919</v>
      </c>
      <c r="W36" s="6" t="s">
        <v>89</v>
      </c>
      <c r="X36" s="6" t="s">
        <v>1920</v>
      </c>
      <c r="Y36" s="6" t="s">
        <v>1921</v>
      </c>
      <c r="Z36" s="6" t="s">
        <v>79</v>
      </c>
      <c r="AA36" s="6" t="s">
        <v>80</v>
      </c>
    </row>
    <row r="37" customFormat="false" ht="53.7" hidden="false" customHeight="false" outlineLevel="0" collapsed="false">
      <c r="A37" s="6" t="s">
        <v>1848</v>
      </c>
      <c r="B37" s="6" t="s">
        <v>1962</v>
      </c>
      <c r="C37" s="6" t="s">
        <v>1850</v>
      </c>
      <c r="D37" s="6" t="s">
        <v>1963</v>
      </c>
      <c r="E37" s="6" t="s">
        <v>25</v>
      </c>
      <c r="F37" s="6" t="s">
        <v>162</v>
      </c>
      <c r="G37" s="6" t="s">
        <v>1964</v>
      </c>
      <c r="H37" s="6" t="s">
        <v>65</v>
      </c>
      <c r="I37" s="6" t="s">
        <v>1965</v>
      </c>
      <c r="J37" s="6" t="s">
        <v>1966</v>
      </c>
      <c r="K37" s="7" t="n">
        <v>46204</v>
      </c>
      <c r="L37" s="6" t="s">
        <v>68</v>
      </c>
      <c r="M37" s="7"/>
      <c r="N37" s="8" t="n">
        <f aca="false">IF(M37&lt;&gt;"",M37-Summary!$C$3,IF(K37="","",K37-Summary!$C$3))</f>
        <v>-101</v>
      </c>
      <c r="O37" s="6" t="s">
        <v>6</v>
      </c>
      <c r="P37" s="6" t="s">
        <v>1967</v>
      </c>
      <c r="Q37" s="6" t="s">
        <v>1968</v>
      </c>
      <c r="R37" s="6" t="s">
        <v>1969</v>
      </c>
      <c r="S37" s="6" t="s">
        <v>1970</v>
      </c>
      <c r="T37" s="6" t="s">
        <v>89</v>
      </c>
      <c r="U37" s="6" t="s">
        <v>1971</v>
      </c>
      <c r="V37" s="6" t="s">
        <v>1972</v>
      </c>
      <c r="W37" s="6" t="s">
        <v>1973</v>
      </c>
      <c r="X37" s="6" t="s">
        <v>1974</v>
      </c>
      <c r="Y37" s="6" t="s">
        <v>1975</v>
      </c>
      <c r="Z37" s="6" t="s">
        <v>128</v>
      </c>
      <c r="AA37" s="6" t="s">
        <v>80</v>
      </c>
    </row>
    <row r="38" customFormat="false" ht="53.7" hidden="false" customHeight="false" outlineLevel="0" collapsed="false">
      <c r="A38" s="6" t="s">
        <v>1848</v>
      </c>
      <c r="B38" s="6" t="s">
        <v>1962</v>
      </c>
      <c r="C38" s="6" t="s">
        <v>1850</v>
      </c>
      <c r="D38" s="6" t="s">
        <v>1976</v>
      </c>
      <c r="E38" s="6" t="s">
        <v>25</v>
      </c>
      <c r="F38" s="6" t="s">
        <v>224</v>
      </c>
      <c r="G38" s="6" t="s">
        <v>1977</v>
      </c>
      <c r="H38" s="6" t="s">
        <v>65</v>
      </c>
      <c r="I38" s="6" t="s">
        <v>1965</v>
      </c>
      <c r="J38" s="6" t="s">
        <v>1978</v>
      </c>
      <c r="K38" s="7" t="n">
        <v>46204</v>
      </c>
      <c r="L38" s="6" t="s">
        <v>68</v>
      </c>
      <c r="M38" s="7"/>
      <c r="N38" s="8" t="n">
        <f aca="false">IF(M38&lt;&gt;"",M38-Summary!$C$3,IF(K38="","",K38-Summary!$C$3))</f>
        <v>-101</v>
      </c>
      <c r="O38" s="6" t="s">
        <v>6</v>
      </c>
      <c r="P38" s="6" t="s">
        <v>1979</v>
      </c>
      <c r="Q38" s="6" t="s">
        <v>1980</v>
      </c>
      <c r="R38" s="6" t="s">
        <v>1981</v>
      </c>
      <c r="S38" s="6" t="s">
        <v>1982</v>
      </c>
      <c r="T38" s="6" t="s">
        <v>89</v>
      </c>
      <c r="U38" s="6" t="s">
        <v>1983</v>
      </c>
      <c r="V38" s="6" t="s">
        <v>1984</v>
      </c>
      <c r="W38" s="6" t="s">
        <v>1985</v>
      </c>
      <c r="X38" s="6" t="s">
        <v>1986</v>
      </c>
      <c r="Y38" s="6" t="s">
        <v>1987</v>
      </c>
      <c r="Z38" s="6" t="s">
        <v>79</v>
      </c>
      <c r="AA38" s="6" t="s">
        <v>80</v>
      </c>
    </row>
    <row r="39" customFormat="false" ht="53.7" hidden="false" customHeight="false" outlineLevel="0" collapsed="false">
      <c r="A39" s="6" t="s">
        <v>1782</v>
      </c>
      <c r="B39" s="6" t="s">
        <v>1783</v>
      </c>
      <c r="C39" s="6" t="s">
        <v>1784</v>
      </c>
      <c r="D39" s="6" t="s">
        <v>1785</v>
      </c>
      <c r="E39" s="6" t="s">
        <v>20</v>
      </c>
      <c r="F39" s="6" t="s">
        <v>224</v>
      </c>
      <c r="G39" s="6" t="s">
        <v>682</v>
      </c>
      <c r="H39" s="6" t="s">
        <v>65</v>
      </c>
      <c r="I39" s="6" t="s">
        <v>1786</v>
      </c>
      <c r="J39" s="6" t="s">
        <v>1787</v>
      </c>
      <c r="K39" s="7" t="n">
        <v>46295</v>
      </c>
      <c r="L39" s="6" t="s">
        <v>68</v>
      </c>
      <c r="M39" s="7"/>
      <c r="N39" s="8" t="n">
        <f aca="false">IF(M39&lt;&gt;"",M39-Summary!$C$3,IF(K39="","",K39-Summary!$C$3))</f>
        <v>-10</v>
      </c>
      <c r="O39" s="6" t="s">
        <v>5</v>
      </c>
      <c r="P39" s="6" t="s">
        <v>1788</v>
      </c>
      <c r="Q39" s="6" t="s">
        <v>1789</v>
      </c>
      <c r="R39" s="6" t="s">
        <v>1790</v>
      </c>
      <c r="S39" s="6" t="s">
        <v>1791</v>
      </c>
      <c r="T39" s="6" t="s">
        <v>89</v>
      </c>
      <c r="U39" s="6" t="s">
        <v>1792</v>
      </c>
      <c r="V39" s="6" t="s">
        <v>1793</v>
      </c>
      <c r="W39" s="6" t="s">
        <v>89</v>
      </c>
      <c r="X39" s="6" t="s">
        <v>1794</v>
      </c>
      <c r="Y39" s="6" t="s">
        <v>1795</v>
      </c>
      <c r="Z39" s="6" t="s">
        <v>128</v>
      </c>
      <c r="AA39" s="6" t="s">
        <v>194</v>
      </c>
    </row>
    <row r="40" customFormat="false" ht="64.15" hidden="false" customHeight="false" outlineLevel="0" collapsed="false">
      <c r="A40" s="6" t="s">
        <v>1882</v>
      </c>
      <c r="B40" s="6" t="s">
        <v>1882</v>
      </c>
      <c r="C40" s="6" t="s">
        <v>1882</v>
      </c>
      <c r="D40" s="6" t="s">
        <v>1883</v>
      </c>
      <c r="E40" s="6" t="s">
        <v>20</v>
      </c>
      <c r="F40" s="6" t="s">
        <v>224</v>
      </c>
      <c r="G40" s="6" t="s">
        <v>682</v>
      </c>
      <c r="H40" s="6" t="s">
        <v>65</v>
      </c>
      <c r="I40" s="6" t="s">
        <v>1884</v>
      </c>
      <c r="J40" s="6" t="s">
        <v>1885</v>
      </c>
      <c r="K40" s="7" t="n">
        <v>46295</v>
      </c>
      <c r="L40" s="6" t="s">
        <v>68</v>
      </c>
      <c r="M40" s="7"/>
      <c r="N40" s="8" t="n">
        <f aca="false">IF(M40&lt;&gt;"",M40-Summary!$C$3,IF(K40="","",K40-Summary!$C$3))</f>
        <v>-10</v>
      </c>
      <c r="O40" s="6" t="s">
        <v>5</v>
      </c>
      <c r="P40" s="6" t="s">
        <v>89</v>
      </c>
      <c r="Q40" s="6" t="s">
        <v>110</v>
      </c>
      <c r="R40" s="6" t="s">
        <v>1868</v>
      </c>
      <c r="S40" s="6" t="s">
        <v>1815</v>
      </c>
      <c r="T40" s="6" t="s">
        <v>89</v>
      </c>
      <c r="U40" s="6" t="s">
        <v>89</v>
      </c>
      <c r="V40" s="6" t="s">
        <v>1869</v>
      </c>
      <c r="W40" s="6" t="s">
        <v>89</v>
      </c>
      <c r="X40" s="6" t="s">
        <v>1817</v>
      </c>
      <c r="Y40" s="6" t="s">
        <v>1886</v>
      </c>
      <c r="Z40" s="6" t="s">
        <v>128</v>
      </c>
      <c r="AA40" s="6" t="s">
        <v>194</v>
      </c>
    </row>
    <row r="41" customFormat="false" ht="43.25" hidden="false" customHeight="false" outlineLevel="0" collapsed="false">
      <c r="A41" s="6" t="s">
        <v>2041</v>
      </c>
      <c r="B41" s="6" t="s">
        <v>2042</v>
      </c>
      <c r="C41" s="6" t="s">
        <v>2043</v>
      </c>
      <c r="D41" s="6" t="s">
        <v>2044</v>
      </c>
      <c r="E41" s="6" t="s">
        <v>18</v>
      </c>
      <c r="F41" s="6" t="s">
        <v>224</v>
      </c>
      <c r="G41" s="6" t="s">
        <v>2045</v>
      </c>
      <c r="H41" s="6" t="s">
        <v>65</v>
      </c>
      <c r="I41" s="6" t="s">
        <v>2046</v>
      </c>
      <c r="J41" s="6" t="s">
        <v>2047</v>
      </c>
      <c r="K41" s="7" t="n">
        <v>46295</v>
      </c>
      <c r="L41" s="6" t="s">
        <v>68</v>
      </c>
      <c r="M41" s="7"/>
      <c r="N41" s="8" t="n">
        <f aca="false">IF(M41&lt;&gt;"",M41-Summary!$C$3,IF(K41="","",K41-Summary!$C$3))</f>
        <v>-10</v>
      </c>
      <c r="O41" s="6" t="s">
        <v>6</v>
      </c>
      <c r="P41" s="6" t="s">
        <v>2048</v>
      </c>
      <c r="Q41" s="6" t="s">
        <v>2049</v>
      </c>
      <c r="R41" s="6" t="s">
        <v>89</v>
      </c>
      <c r="S41" s="6" t="s">
        <v>2050</v>
      </c>
      <c r="T41" s="6" t="s">
        <v>2051</v>
      </c>
      <c r="U41" s="6" t="s">
        <v>89</v>
      </c>
      <c r="V41" s="6" t="s">
        <v>2052</v>
      </c>
      <c r="W41" s="6" t="s">
        <v>89</v>
      </c>
      <c r="X41" s="6" t="s">
        <v>89</v>
      </c>
      <c r="Y41" s="6" t="s">
        <v>2053</v>
      </c>
      <c r="Z41" s="6" t="s">
        <v>128</v>
      </c>
      <c r="AA41" s="6" t="s">
        <v>194</v>
      </c>
    </row>
    <row r="42" customFormat="false" ht="53.7" hidden="false" customHeight="false" outlineLevel="0" collapsed="false">
      <c r="A42" s="6" t="s">
        <v>319</v>
      </c>
      <c r="B42" s="6" t="s">
        <v>320</v>
      </c>
      <c r="C42" s="6" t="s">
        <v>321</v>
      </c>
      <c r="D42" s="6" t="s">
        <v>322</v>
      </c>
      <c r="E42" s="6" t="s">
        <v>21</v>
      </c>
      <c r="F42" s="6" t="s">
        <v>93</v>
      </c>
      <c r="G42" s="6" t="s">
        <v>323</v>
      </c>
      <c r="H42" s="6" t="s">
        <v>65</v>
      </c>
      <c r="I42" s="6" t="s">
        <v>324</v>
      </c>
      <c r="J42" s="6" t="s">
        <v>325</v>
      </c>
      <c r="K42" s="7" t="n">
        <v>45941</v>
      </c>
      <c r="L42" s="6" t="s">
        <v>68</v>
      </c>
      <c r="M42" s="7" t="n">
        <v>46306</v>
      </c>
      <c r="N42" s="8" t="n">
        <f aca="false">IF(M42&lt;&gt;"",M42-Summary!$C$3,IF(K42="","",K42-Summary!$C$3))</f>
        <v>1</v>
      </c>
      <c r="O42" s="6" t="s">
        <v>4</v>
      </c>
      <c r="P42" s="6" t="s">
        <v>69</v>
      </c>
      <c r="Q42" s="6" t="s">
        <v>134</v>
      </c>
      <c r="R42" s="6" t="s">
        <v>326</v>
      </c>
      <c r="S42" s="6" t="s">
        <v>327</v>
      </c>
      <c r="T42" s="6" t="s">
        <v>89</v>
      </c>
      <c r="U42" s="6" t="s">
        <v>328</v>
      </c>
      <c r="V42" s="6" t="s">
        <v>329</v>
      </c>
      <c r="W42" s="6" t="s">
        <v>330</v>
      </c>
      <c r="X42" s="6" t="s">
        <v>331</v>
      </c>
      <c r="Y42" s="6" t="s">
        <v>332</v>
      </c>
      <c r="Z42" s="6" t="s">
        <v>128</v>
      </c>
      <c r="AA42" s="6" t="s">
        <v>80</v>
      </c>
    </row>
    <row r="43" customFormat="false" ht="53.7" hidden="false" customHeight="false" outlineLevel="0" collapsed="false">
      <c r="A43" s="6" t="s">
        <v>926</v>
      </c>
      <c r="B43" s="6" t="s">
        <v>927</v>
      </c>
      <c r="C43" s="6" t="s">
        <v>928</v>
      </c>
      <c r="D43" s="6" t="s">
        <v>929</v>
      </c>
      <c r="E43" s="6" t="s">
        <v>21</v>
      </c>
      <c r="F43" s="6" t="s">
        <v>63</v>
      </c>
      <c r="G43" s="6" t="s">
        <v>122</v>
      </c>
      <c r="H43" s="6" t="s">
        <v>65</v>
      </c>
      <c r="I43" s="6" t="s">
        <v>930</v>
      </c>
      <c r="J43" s="6" t="s">
        <v>931</v>
      </c>
      <c r="K43" s="7" t="n">
        <v>46312</v>
      </c>
      <c r="L43" s="6" t="s">
        <v>68</v>
      </c>
      <c r="M43" s="7"/>
      <c r="N43" s="8" t="n">
        <f aca="false">IF(M43&lt;&gt;"",M43-Summary!$C$3,IF(K43="","",K43-Summary!$C$3))</f>
        <v>7</v>
      </c>
      <c r="O43" s="6" t="s">
        <v>4</v>
      </c>
      <c r="P43" s="6" t="s">
        <v>69</v>
      </c>
      <c r="Q43" s="6" t="s">
        <v>134</v>
      </c>
      <c r="R43" s="6" t="s">
        <v>932</v>
      </c>
      <c r="S43" s="6" t="s">
        <v>933</v>
      </c>
      <c r="T43" s="6" t="s">
        <v>934</v>
      </c>
      <c r="U43" s="6" t="s">
        <v>89</v>
      </c>
      <c r="V43" s="6" t="s">
        <v>935</v>
      </c>
      <c r="W43" s="6" t="s">
        <v>936</v>
      </c>
      <c r="X43" s="6" t="s">
        <v>937</v>
      </c>
      <c r="Y43" s="6" t="s">
        <v>938</v>
      </c>
      <c r="Z43" s="6" t="s">
        <v>79</v>
      </c>
      <c r="AA43" s="6" t="s">
        <v>194</v>
      </c>
    </row>
    <row r="44" customFormat="false" ht="64.15" hidden="false" customHeight="false" outlineLevel="0" collapsed="false">
      <c r="A44" s="6" t="s">
        <v>436</v>
      </c>
      <c r="B44" s="6" t="s">
        <v>437</v>
      </c>
      <c r="C44" s="6" t="s">
        <v>436</v>
      </c>
      <c r="D44" s="6" t="s">
        <v>438</v>
      </c>
      <c r="E44" s="6" t="s">
        <v>21</v>
      </c>
      <c r="F44" s="6" t="s">
        <v>439</v>
      </c>
      <c r="G44" s="6" t="s">
        <v>122</v>
      </c>
      <c r="H44" s="6" t="s">
        <v>65</v>
      </c>
      <c r="I44" s="6" t="s">
        <v>440</v>
      </c>
      <c r="J44" s="6" t="s">
        <v>441</v>
      </c>
      <c r="K44" s="7" t="n">
        <v>46314</v>
      </c>
      <c r="L44" s="6" t="s">
        <v>68</v>
      </c>
      <c r="M44" s="7"/>
      <c r="N44" s="8" t="n">
        <f aca="false">IF(M44&lt;&gt;"",M44-Summary!$C$3,IF(K44="","",K44-Summary!$C$3))</f>
        <v>9</v>
      </c>
      <c r="O44" s="6" t="s">
        <v>4</v>
      </c>
      <c r="P44" s="6" t="s">
        <v>442</v>
      </c>
      <c r="Q44" s="6" t="s">
        <v>443</v>
      </c>
      <c r="R44" s="6" t="s">
        <v>444</v>
      </c>
      <c r="S44" s="6" t="s">
        <v>445</v>
      </c>
      <c r="T44" s="6" t="s">
        <v>446</v>
      </c>
      <c r="U44" s="6" t="s">
        <v>89</v>
      </c>
      <c r="V44" s="6" t="s">
        <v>447</v>
      </c>
      <c r="W44" s="6" t="s">
        <v>448</v>
      </c>
      <c r="X44" s="6" t="s">
        <v>449</v>
      </c>
      <c r="Y44" s="6" t="s">
        <v>450</v>
      </c>
      <c r="Z44" s="6" t="s">
        <v>79</v>
      </c>
      <c r="AA44" s="6" t="s">
        <v>194</v>
      </c>
    </row>
    <row r="45" customFormat="false" ht="53.7" hidden="false" customHeight="false" outlineLevel="0" collapsed="false">
      <c r="A45" s="6" t="s">
        <v>1379</v>
      </c>
      <c r="B45" s="6" t="s">
        <v>1379</v>
      </c>
      <c r="C45" s="6" t="s">
        <v>1380</v>
      </c>
      <c r="D45" s="6" t="s">
        <v>1381</v>
      </c>
      <c r="E45" s="6" t="s">
        <v>21</v>
      </c>
      <c r="F45" s="6" t="s">
        <v>1382</v>
      </c>
      <c r="G45" s="6" t="s">
        <v>1383</v>
      </c>
      <c r="H45" s="6" t="s">
        <v>65</v>
      </c>
      <c r="I45" s="6" t="s">
        <v>1384</v>
      </c>
      <c r="J45" s="6" t="s">
        <v>1385</v>
      </c>
      <c r="K45" s="7" t="n">
        <v>44862</v>
      </c>
      <c r="L45" s="6" t="s">
        <v>68</v>
      </c>
      <c r="M45" s="7" t="n">
        <v>46323</v>
      </c>
      <c r="N45" s="8" t="n">
        <f aca="false">IF(M45&lt;&gt;"",M45-Summary!$C$3,IF(K45="","",K45-Summary!$C$3))</f>
        <v>18</v>
      </c>
      <c r="O45" s="6" t="s">
        <v>4</v>
      </c>
      <c r="P45" s="6" t="s">
        <v>69</v>
      </c>
      <c r="Q45" s="6" t="s">
        <v>750</v>
      </c>
      <c r="R45" s="6" t="s">
        <v>1386</v>
      </c>
      <c r="S45" s="6" t="s">
        <v>1387</v>
      </c>
      <c r="T45" s="6" t="s">
        <v>89</v>
      </c>
      <c r="U45" s="6" t="s">
        <v>89</v>
      </c>
      <c r="V45" s="6" t="s">
        <v>1388</v>
      </c>
      <c r="W45" s="6" t="s">
        <v>754</v>
      </c>
      <c r="X45" s="6" t="s">
        <v>1389</v>
      </c>
      <c r="Y45" s="6" t="s">
        <v>1390</v>
      </c>
      <c r="Z45" s="6" t="s">
        <v>128</v>
      </c>
      <c r="AA45" s="6" t="s">
        <v>194</v>
      </c>
    </row>
    <row r="46" customFormat="false" ht="43.25" hidden="false" customHeight="false" outlineLevel="0" collapsed="false">
      <c r="A46" s="6" t="s">
        <v>1568</v>
      </c>
      <c r="B46" s="6" t="s">
        <v>1569</v>
      </c>
      <c r="C46" s="6" t="s">
        <v>534</v>
      </c>
      <c r="D46" s="6" t="s">
        <v>1570</v>
      </c>
      <c r="E46" s="6" t="s">
        <v>26</v>
      </c>
      <c r="F46" s="6" t="s">
        <v>147</v>
      </c>
      <c r="G46" s="6" t="s">
        <v>1571</v>
      </c>
      <c r="H46" s="6" t="s">
        <v>65</v>
      </c>
      <c r="I46" s="6" t="s">
        <v>1572</v>
      </c>
      <c r="J46" s="6" t="s">
        <v>1573</v>
      </c>
      <c r="K46" s="7" t="n">
        <v>46325</v>
      </c>
      <c r="L46" s="6" t="s">
        <v>68</v>
      </c>
      <c r="M46" s="7"/>
      <c r="N46" s="8" t="n">
        <f aca="false">IF(M46&lt;&gt;"",M46-Summary!$C$3,IF(K46="","",K46-Summary!$C$3))</f>
        <v>20</v>
      </c>
      <c r="O46" s="6" t="s">
        <v>4</v>
      </c>
      <c r="P46" s="6" t="s">
        <v>1574</v>
      </c>
      <c r="Q46" s="6" t="s">
        <v>1575</v>
      </c>
      <c r="R46" s="6" t="s">
        <v>1576</v>
      </c>
      <c r="S46" s="6" t="s">
        <v>1577</v>
      </c>
      <c r="T46" s="6" t="s">
        <v>1578</v>
      </c>
      <c r="U46" s="6" t="s">
        <v>89</v>
      </c>
      <c r="V46" s="6" t="s">
        <v>1579</v>
      </c>
      <c r="W46" s="6" t="s">
        <v>1580</v>
      </c>
      <c r="X46" s="6" t="s">
        <v>1581</v>
      </c>
      <c r="Y46" s="6" t="s">
        <v>1582</v>
      </c>
      <c r="Z46" s="6" t="s">
        <v>79</v>
      </c>
      <c r="AA46" s="6" t="s">
        <v>80</v>
      </c>
    </row>
    <row r="47" customFormat="false" ht="43.25" hidden="false" customHeight="false" outlineLevel="0" collapsed="false">
      <c r="A47" s="6" t="s">
        <v>1297</v>
      </c>
      <c r="B47" s="6" t="s">
        <v>1298</v>
      </c>
      <c r="C47" s="6" t="s">
        <v>1297</v>
      </c>
      <c r="D47" s="6" t="s">
        <v>1299</v>
      </c>
      <c r="E47" s="6" t="s">
        <v>21</v>
      </c>
      <c r="F47" s="6" t="s">
        <v>224</v>
      </c>
      <c r="G47" s="6" t="s">
        <v>553</v>
      </c>
      <c r="H47" s="6" t="s">
        <v>65</v>
      </c>
      <c r="I47" s="6" t="s">
        <v>1300</v>
      </c>
      <c r="J47" s="6" t="s">
        <v>1301</v>
      </c>
      <c r="K47" s="7" t="n">
        <v>46326</v>
      </c>
      <c r="L47" s="6" t="s">
        <v>68</v>
      </c>
      <c r="M47" s="7"/>
      <c r="N47" s="8" t="n">
        <f aca="false">IF(M47&lt;&gt;"",M47-Summary!$C$3,IF(K47="","",K47-Summary!$C$3))</f>
        <v>21</v>
      </c>
      <c r="O47" s="6" t="s">
        <v>4</v>
      </c>
      <c r="P47" s="6" t="s">
        <v>69</v>
      </c>
      <c r="Q47" s="6" t="s">
        <v>750</v>
      </c>
      <c r="R47" s="6" t="s">
        <v>1302</v>
      </c>
      <c r="S47" s="6" t="s">
        <v>1303</v>
      </c>
      <c r="T47" s="6" t="s">
        <v>1304</v>
      </c>
      <c r="U47" s="6" t="s">
        <v>1305</v>
      </c>
      <c r="V47" s="6" t="s">
        <v>89</v>
      </c>
      <c r="W47" s="6" t="s">
        <v>1306</v>
      </c>
      <c r="X47" s="6" t="s">
        <v>1307</v>
      </c>
      <c r="Y47" s="6" t="s">
        <v>1308</v>
      </c>
      <c r="Z47" s="6" t="s">
        <v>79</v>
      </c>
      <c r="AA47" s="6" t="s">
        <v>194</v>
      </c>
    </row>
    <row r="48" customFormat="false" ht="43.25" hidden="false" customHeight="false" outlineLevel="0" collapsed="false">
      <c r="A48" s="6" t="s">
        <v>550</v>
      </c>
      <c r="B48" s="6" t="s">
        <v>551</v>
      </c>
      <c r="C48" s="6" t="s">
        <v>550</v>
      </c>
      <c r="D48" s="6" t="s">
        <v>552</v>
      </c>
      <c r="E48" s="6" t="s">
        <v>21</v>
      </c>
      <c r="F48" s="6" t="s">
        <v>162</v>
      </c>
      <c r="G48" s="6" t="s">
        <v>553</v>
      </c>
      <c r="H48" s="6" t="s">
        <v>65</v>
      </c>
      <c r="I48" s="6" t="s">
        <v>554</v>
      </c>
      <c r="J48" s="6" t="s">
        <v>555</v>
      </c>
      <c r="K48" s="7" t="n">
        <v>45242</v>
      </c>
      <c r="L48" s="6" t="s">
        <v>68</v>
      </c>
      <c r="M48" s="7" t="n">
        <v>46338</v>
      </c>
      <c r="N48" s="8" t="n">
        <f aca="false">IF(M48&lt;&gt;"",M48-Summary!$C$3,IF(K48="","",K48-Summary!$C$3))</f>
        <v>33</v>
      </c>
      <c r="O48" s="6" t="s">
        <v>4</v>
      </c>
      <c r="P48" s="6" t="s">
        <v>69</v>
      </c>
      <c r="Q48" s="6" t="s">
        <v>556</v>
      </c>
      <c r="R48" s="6" t="s">
        <v>557</v>
      </c>
      <c r="S48" s="6" t="s">
        <v>558</v>
      </c>
      <c r="T48" s="6" t="s">
        <v>559</v>
      </c>
      <c r="U48" s="6" t="s">
        <v>560</v>
      </c>
      <c r="V48" s="6" t="s">
        <v>561</v>
      </c>
      <c r="W48" s="6" t="s">
        <v>562</v>
      </c>
      <c r="X48" s="6" t="s">
        <v>563</v>
      </c>
      <c r="Y48" s="6" t="s">
        <v>564</v>
      </c>
      <c r="Z48" s="6" t="s">
        <v>128</v>
      </c>
      <c r="AA48" s="6" t="s">
        <v>194</v>
      </c>
    </row>
    <row r="49" customFormat="false" ht="32.8" hidden="false" customHeight="false" outlineLevel="0" collapsed="false">
      <c r="A49" s="6" t="s">
        <v>970</v>
      </c>
      <c r="B49" s="6" t="s">
        <v>971</v>
      </c>
      <c r="C49" s="6" t="s">
        <v>972</v>
      </c>
      <c r="D49" s="6" t="s">
        <v>973</v>
      </c>
      <c r="E49" s="6" t="s">
        <v>21</v>
      </c>
      <c r="F49" s="6" t="s">
        <v>63</v>
      </c>
      <c r="G49" s="6" t="s">
        <v>974</v>
      </c>
      <c r="H49" s="6" t="s">
        <v>65</v>
      </c>
      <c r="I49" s="6" t="s">
        <v>975</v>
      </c>
      <c r="J49" s="6" t="s">
        <v>976</v>
      </c>
      <c r="K49" s="7" t="n">
        <v>46356</v>
      </c>
      <c r="L49" s="6" t="s">
        <v>68</v>
      </c>
      <c r="M49" s="7"/>
      <c r="N49" s="8" t="n">
        <f aca="false">IF(M49&lt;&gt;"",M49-Summary!$C$3,IF(K49="","",K49-Summary!$C$3))</f>
        <v>51</v>
      </c>
      <c r="O49" s="6" t="s">
        <v>4</v>
      </c>
      <c r="P49" s="6" t="s">
        <v>69</v>
      </c>
      <c r="Q49" s="6" t="s">
        <v>977</v>
      </c>
      <c r="R49" s="6" t="s">
        <v>978</v>
      </c>
      <c r="S49" s="6" t="s">
        <v>979</v>
      </c>
      <c r="T49" s="6" t="s">
        <v>89</v>
      </c>
      <c r="U49" s="6" t="s">
        <v>89</v>
      </c>
      <c r="V49" s="6" t="s">
        <v>980</v>
      </c>
      <c r="W49" s="6" t="s">
        <v>382</v>
      </c>
      <c r="X49" s="6" t="s">
        <v>981</v>
      </c>
      <c r="Y49" s="6" t="s">
        <v>982</v>
      </c>
      <c r="Z49" s="6" t="s">
        <v>79</v>
      </c>
      <c r="AA49" s="6" t="s">
        <v>194</v>
      </c>
    </row>
    <row r="50" customFormat="false" ht="53.7" hidden="false" customHeight="false" outlineLevel="0" collapsed="false">
      <c r="A50" s="6" t="s">
        <v>503</v>
      </c>
      <c r="B50" s="6" t="s">
        <v>504</v>
      </c>
      <c r="C50" s="6" t="s">
        <v>503</v>
      </c>
      <c r="D50" s="6" t="s">
        <v>505</v>
      </c>
      <c r="E50" s="6" t="s">
        <v>21</v>
      </c>
      <c r="F50" s="6" t="s">
        <v>162</v>
      </c>
      <c r="G50" s="6" t="s">
        <v>506</v>
      </c>
      <c r="H50" s="6" t="s">
        <v>65</v>
      </c>
      <c r="I50" s="6" t="s">
        <v>507</v>
      </c>
      <c r="J50" s="6" t="s">
        <v>508</v>
      </c>
      <c r="K50" s="7" t="n">
        <v>45263</v>
      </c>
      <c r="L50" s="6" t="s">
        <v>68</v>
      </c>
      <c r="M50" s="7" t="n">
        <v>46359</v>
      </c>
      <c r="N50" s="8" t="n">
        <f aca="false">IF(M50&lt;&gt;"",M50-Summary!$C$3,IF(K50="","",K50-Summary!$C$3))</f>
        <v>54</v>
      </c>
      <c r="O50" s="6" t="s">
        <v>4</v>
      </c>
      <c r="P50" s="6" t="s">
        <v>69</v>
      </c>
      <c r="Q50" s="6" t="s">
        <v>509</v>
      </c>
      <c r="R50" s="6" t="s">
        <v>510</v>
      </c>
      <c r="S50" s="6" t="s">
        <v>511</v>
      </c>
      <c r="T50" s="6" t="s">
        <v>89</v>
      </c>
      <c r="U50" s="6" t="s">
        <v>512</v>
      </c>
      <c r="V50" s="6" t="s">
        <v>513</v>
      </c>
      <c r="W50" s="6" t="s">
        <v>514</v>
      </c>
      <c r="X50" s="6" t="s">
        <v>515</v>
      </c>
      <c r="Y50" s="6" t="s">
        <v>516</v>
      </c>
      <c r="Z50" s="6" t="s">
        <v>128</v>
      </c>
      <c r="AA50" s="6" t="s">
        <v>194</v>
      </c>
    </row>
    <row r="51" customFormat="false" ht="43.25" hidden="false" customHeight="false" outlineLevel="0" collapsed="false">
      <c r="A51" s="6" t="s">
        <v>340</v>
      </c>
      <c r="B51" s="6" t="s">
        <v>340</v>
      </c>
      <c r="C51" s="6" t="s">
        <v>341</v>
      </c>
      <c r="D51" s="6" t="s">
        <v>342</v>
      </c>
      <c r="E51" s="6" t="s">
        <v>24</v>
      </c>
      <c r="F51" s="6" t="s">
        <v>343</v>
      </c>
      <c r="G51" s="6" t="s">
        <v>122</v>
      </c>
      <c r="H51" s="6" t="s">
        <v>344</v>
      </c>
      <c r="I51" s="6" t="s">
        <v>345</v>
      </c>
      <c r="J51" s="6" t="s">
        <v>346</v>
      </c>
      <c r="K51" s="7" t="n">
        <v>44561</v>
      </c>
      <c r="L51" s="6" t="s">
        <v>68</v>
      </c>
      <c r="M51" s="7" t="n">
        <v>46387</v>
      </c>
      <c r="N51" s="8" t="n">
        <f aca="false">IF(M51&lt;&gt;"",M51-Summary!$C$3,IF(K51="","",K51-Summary!$C$3))</f>
        <v>82</v>
      </c>
      <c r="O51" s="6" t="s">
        <v>4</v>
      </c>
      <c r="P51" s="6" t="s">
        <v>150</v>
      </c>
      <c r="Q51" s="6" t="s">
        <v>134</v>
      </c>
      <c r="R51" s="6" t="s">
        <v>347</v>
      </c>
      <c r="S51" s="6" t="s">
        <v>348</v>
      </c>
      <c r="T51" s="6" t="s">
        <v>349</v>
      </c>
      <c r="U51" s="6" t="s">
        <v>89</v>
      </c>
      <c r="V51" s="6" t="s">
        <v>110</v>
      </c>
      <c r="W51" s="6" t="s">
        <v>350</v>
      </c>
      <c r="X51" s="6" t="s">
        <v>351</v>
      </c>
      <c r="Y51" s="6" t="s">
        <v>352</v>
      </c>
      <c r="Z51" s="6" t="s">
        <v>128</v>
      </c>
      <c r="AA51" s="6" t="s">
        <v>194</v>
      </c>
    </row>
    <row r="52" customFormat="false" ht="53.7" hidden="false" customHeight="false" outlineLevel="0" collapsed="false">
      <c r="A52" s="6" t="s">
        <v>877</v>
      </c>
      <c r="B52" s="6" t="s">
        <v>320</v>
      </c>
      <c r="C52" s="6" t="s">
        <v>321</v>
      </c>
      <c r="D52" s="6" t="s">
        <v>878</v>
      </c>
      <c r="E52" s="6" t="s">
        <v>21</v>
      </c>
      <c r="F52" s="6" t="s">
        <v>93</v>
      </c>
      <c r="G52" s="6" t="s">
        <v>879</v>
      </c>
      <c r="H52" s="6" t="s">
        <v>65</v>
      </c>
      <c r="I52" s="6" t="s">
        <v>880</v>
      </c>
      <c r="J52" s="6" t="s">
        <v>881</v>
      </c>
      <c r="K52" s="7" t="n">
        <v>46053</v>
      </c>
      <c r="L52" s="6" t="s">
        <v>68</v>
      </c>
      <c r="M52" s="7" t="n">
        <v>46418</v>
      </c>
      <c r="N52" s="8" t="n">
        <f aca="false">IF(M52&lt;&gt;"",M52-Summary!$C$3,IF(K52="","",K52-Summary!$C$3))</f>
        <v>113</v>
      </c>
      <c r="O52" s="6" t="s">
        <v>4</v>
      </c>
      <c r="P52" s="6" t="s">
        <v>69</v>
      </c>
      <c r="Q52" s="6" t="s">
        <v>134</v>
      </c>
      <c r="R52" s="6" t="s">
        <v>882</v>
      </c>
      <c r="S52" s="6" t="s">
        <v>883</v>
      </c>
      <c r="T52" s="6" t="s">
        <v>89</v>
      </c>
      <c r="U52" s="6" t="s">
        <v>884</v>
      </c>
      <c r="V52" s="6" t="s">
        <v>885</v>
      </c>
      <c r="W52" s="6" t="s">
        <v>886</v>
      </c>
      <c r="X52" s="6" t="s">
        <v>887</v>
      </c>
      <c r="Y52" s="6" t="s">
        <v>888</v>
      </c>
      <c r="Z52" s="6" t="s">
        <v>128</v>
      </c>
      <c r="AA52" s="6" t="s">
        <v>194</v>
      </c>
    </row>
    <row r="53" customFormat="false" ht="43.25" hidden="false" customHeight="false" outlineLevel="0" collapsed="false">
      <c r="A53" s="6" t="s">
        <v>743</v>
      </c>
      <c r="B53" s="6" t="s">
        <v>744</v>
      </c>
      <c r="C53" s="6" t="s">
        <v>745</v>
      </c>
      <c r="D53" s="6" t="s">
        <v>746</v>
      </c>
      <c r="E53" s="6" t="s">
        <v>21</v>
      </c>
      <c r="F53" s="6" t="s">
        <v>162</v>
      </c>
      <c r="G53" s="6" t="s">
        <v>747</v>
      </c>
      <c r="H53" s="6" t="s">
        <v>344</v>
      </c>
      <c r="I53" s="6" t="s">
        <v>748</v>
      </c>
      <c r="J53" s="6" t="s">
        <v>749</v>
      </c>
      <c r="K53" s="7" t="n">
        <v>44238</v>
      </c>
      <c r="L53" s="6" t="s">
        <v>68</v>
      </c>
      <c r="M53" s="7" t="n">
        <v>46429</v>
      </c>
      <c r="N53" s="8" t="n">
        <f aca="false">IF(M53&lt;&gt;"",M53-Summary!$C$3,IF(K53="","",K53-Summary!$C$3))</f>
        <v>124</v>
      </c>
      <c r="O53" s="6" t="s">
        <v>4</v>
      </c>
      <c r="P53" s="6" t="s">
        <v>69</v>
      </c>
      <c r="Q53" s="6" t="s">
        <v>750</v>
      </c>
      <c r="R53" s="6" t="s">
        <v>751</v>
      </c>
      <c r="S53" s="6" t="s">
        <v>752</v>
      </c>
      <c r="T53" s="6" t="s">
        <v>89</v>
      </c>
      <c r="U53" s="6" t="s">
        <v>89</v>
      </c>
      <c r="V53" s="6" t="s">
        <v>753</v>
      </c>
      <c r="W53" s="6" t="s">
        <v>754</v>
      </c>
      <c r="X53" s="6" t="s">
        <v>755</v>
      </c>
      <c r="Y53" s="6" t="s">
        <v>756</v>
      </c>
      <c r="Z53" s="6" t="s">
        <v>128</v>
      </c>
      <c r="AA53" s="6" t="s">
        <v>194</v>
      </c>
    </row>
    <row r="54" customFormat="false" ht="53.7" hidden="false" customHeight="false" outlineLevel="0" collapsed="false">
      <c r="A54" s="6" t="s">
        <v>1443</v>
      </c>
      <c r="B54" s="6" t="s">
        <v>1444</v>
      </c>
      <c r="C54" s="6" t="s">
        <v>1445</v>
      </c>
      <c r="D54" s="6" t="s">
        <v>1446</v>
      </c>
      <c r="E54" s="6" t="s">
        <v>21</v>
      </c>
      <c r="F54" s="6" t="s">
        <v>147</v>
      </c>
      <c r="G54" s="6" t="s">
        <v>122</v>
      </c>
      <c r="H54" s="6" t="s">
        <v>1447</v>
      </c>
      <c r="I54" s="6" t="s">
        <v>1448</v>
      </c>
      <c r="J54" s="6" t="s">
        <v>1449</v>
      </c>
      <c r="K54" s="7" t="n">
        <v>46443</v>
      </c>
      <c r="L54" s="6" t="s">
        <v>68</v>
      </c>
      <c r="M54" s="7"/>
      <c r="N54" s="8" t="n">
        <f aca="false">IF(M54&lt;&gt;"",M54-Summary!$C$3,IF(K54="","",K54-Summary!$C$3))</f>
        <v>138</v>
      </c>
      <c r="O54" s="6" t="s">
        <v>4</v>
      </c>
      <c r="P54" s="6" t="s">
        <v>69</v>
      </c>
      <c r="Q54" s="6" t="s">
        <v>1450</v>
      </c>
      <c r="R54" s="6" t="s">
        <v>1451</v>
      </c>
      <c r="S54" s="6" t="s">
        <v>1452</v>
      </c>
      <c r="T54" s="6" t="s">
        <v>1453</v>
      </c>
      <c r="U54" s="6" t="s">
        <v>89</v>
      </c>
      <c r="V54" s="6" t="s">
        <v>1454</v>
      </c>
      <c r="W54" s="6" t="s">
        <v>1455</v>
      </c>
      <c r="X54" s="6" t="s">
        <v>1456</v>
      </c>
      <c r="Y54" s="6" t="s">
        <v>1457</v>
      </c>
      <c r="Z54" s="6" t="s">
        <v>79</v>
      </c>
      <c r="AA54" s="6" t="s">
        <v>194</v>
      </c>
    </row>
    <row r="55" customFormat="false" ht="53.7" hidden="false" customHeight="false" outlineLevel="0" collapsed="false">
      <c r="A55" s="6" t="s">
        <v>181</v>
      </c>
      <c r="B55" s="6" t="s">
        <v>182</v>
      </c>
      <c r="C55" s="6" t="s">
        <v>183</v>
      </c>
      <c r="D55" s="6" t="s">
        <v>184</v>
      </c>
      <c r="E55" s="6" t="s">
        <v>21</v>
      </c>
      <c r="F55" s="6" t="s">
        <v>93</v>
      </c>
      <c r="G55" s="6" t="s">
        <v>122</v>
      </c>
      <c r="H55" s="6" t="s">
        <v>65</v>
      </c>
      <c r="I55" s="6" t="s">
        <v>163</v>
      </c>
      <c r="J55" s="6" t="s">
        <v>185</v>
      </c>
      <c r="K55" s="7" t="n">
        <v>46446</v>
      </c>
      <c r="L55" s="6" t="s">
        <v>68</v>
      </c>
      <c r="M55" s="7"/>
      <c r="N55" s="8" t="n">
        <f aca="false">IF(M55&lt;&gt;"",M55-Summary!$C$3,IF(K55="","",K55-Summary!$C$3))</f>
        <v>141</v>
      </c>
      <c r="O55" s="6" t="s">
        <v>4</v>
      </c>
      <c r="P55" s="6" t="s">
        <v>186</v>
      </c>
      <c r="Q55" s="6" t="s">
        <v>134</v>
      </c>
      <c r="R55" s="6" t="s">
        <v>187</v>
      </c>
      <c r="S55" s="6" t="s">
        <v>188</v>
      </c>
      <c r="T55" s="6" t="s">
        <v>189</v>
      </c>
      <c r="U55" s="6" t="s">
        <v>89</v>
      </c>
      <c r="V55" s="6" t="s">
        <v>190</v>
      </c>
      <c r="W55" s="6" t="s">
        <v>191</v>
      </c>
      <c r="X55" s="6" t="s">
        <v>192</v>
      </c>
      <c r="Y55" s="6" t="s">
        <v>193</v>
      </c>
      <c r="Z55" s="6" t="s">
        <v>79</v>
      </c>
      <c r="AA55" s="6" t="s">
        <v>194</v>
      </c>
    </row>
    <row r="56" customFormat="false" ht="53.7" hidden="false" customHeight="false" outlineLevel="0" collapsed="false">
      <c r="A56" s="6" t="s">
        <v>770</v>
      </c>
      <c r="B56" s="6" t="s">
        <v>771</v>
      </c>
      <c r="C56" s="6" t="s">
        <v>770</v>
      </c>
      <c r="D56" s="6" t="s">
        <v>772</v>
      </c>
      <c r="E56" s="6" t="s">
        <v>21</v>
      </c>
      <c r="F56" s="6" t="s">
        <v>773</v>
      </c>
      <c r="G56" s="6" t="s">
        <v>122</v>
      </c>
      <c r="H56" s="6" t="s">
        <v>65</v>
      </c>
      <c r="I56" s="6" t="s">
        <v>774</v>
      </c>
      <c r="J56" s="6" t="s">
        <v>775</v>
      </c>
      <c r="K56" s="7" t="n">
        <v>46081</v>
      </c>
      <c r="L56" s="6" t="s">
        <v>68</v>
      </c>
      <c r="M56" s="7" t="n">
        <v>46446</v>
      </c>
      <c r="N56" s="8" t="n">
        <f aca="false">IF(M56&lt;&gt;"",M56-Summary!$C$3,IF(K56="","",K56-Summary!$C$3))</f>
        <v>141</v>
      </c>
      <c r="O56" s="6" t="s">
        <v>4</v>
      </c>
      <c r="P56" s="6" t="s">
        <v>776</v>
      </c>
      <c r="Q56" s="6" t="s">
        <v>777</v>
      </c>
      <c r="R56" s="6" t="s">
        <v>778</v>
      </c>
      <c r="S56" s="6" t="s">
        <v>779</v>
      </c>
      <c r="T56" s="6" t="s">
        <v>89</v>
      </c>
      <c r="U56" s="6" t="s">
        <v>89</v>
      </c>
      <c r="V56" s="6" t="s">
        <v>780</v>
      </c>
      <c r="W56" s="6" t="s">
        <v>781</v>
      </c>
      <c r="X56" s="6" t="s">
        <v>782</v>
      </c>
      <c r="Y56" s="6" t="s">
        <v>783</v>
      </c>
      <c r="Z56" s="6" t="s">
        <v>79</v>
      </c>
      <c r="AA56" s="6" t="s">
        <v>80</v>
      </c>
    </row>
    <row r="57" customFormat="false" ht="53.7" hidden="false" customHeight="false" outlineLevel="0" collapsed="false">
      <c r="A57" s="6" t="s">
        <v>770</v>
      </c>
      <c r="B57" s="6" t="s">
        <v>784</v>
      </c>
      <c r="C57" s="6" t="s">
        <v>770</v>
      </c>
      <c r="D57" s="6" t="s">
        <v>785</v>
      </c>
      <c r="E57" s="6" t="s">
        <v>21</v>
      </c>
      <c r="F57" s="6" t="s">
        <v>786</v>
      </c>
      <c r="G57" s="6" t="s">
        <v>122</v>
      </c>
      <c r="H57" s="6" t="s">
        <v>65</v>
      </c>
      <c r="I57" s="6" t="s">
        <v>774</v>
      </c>
      <c r="J57" s="6" t="s">
        <v>787</v>
      </c>
      <c r="K57" s="7" t="n">
        <v>46081</v>
      </c>
      <c r="L57" s="6" t="s">
        <v>68</v>
      </c>
      <c r="M57" s="7" t="n">
        <v>46446</v>
      </c>
      <c r="N57" s="8" t="n">
        <f aca="false">IF(M57&lt;&gt;"",M57-Summary!$C$3,IF(K57="","",K57-Summary!$C$3))</f>
        <v>141</v>
      </c>
      <c r="O57" s="6" t="s">
        <v>4</v>
      </c>
      <c r="P57" s="6" t="s">
        <v>776</v>
      </c>
      <c r="Q57" s="6" t="s">
        <v>788</v>
      </c>
      <c r="R57" s="6" t="s">
        <v>789</v>
      </c>
      <c r="S57" s="6" t="s">
        <v>790</v>
      </c>
      <c r="T57" s="6" t="s">
        <v>89</v>
      </c>
      <c r="U57" s="6" t="s">
        <v>791</v>
      </c>
      <c r="V57" s="6" t="s">
        <v>792</v>
      </c>
      <c r="W57" s="6" t="s">
        <v>793</v>
      </c>
      <c r="X57" s="6" t="s">
        <v>794</v>
      </c>
      <c r="Y57" s="6" t="s">
        <v>795</v>
      </c>
      <c r="Z57" s="6" t="s">
        <v>128</v>
      </c>
      <c r="AA57" s="6" t="s">
        <v>80</v>
      </c>
    </row>
    <row r="58" customFormat="false" ht="43.25" hidden="false" customHeight="false" outlineLevel="0" collapsed="false">
      <c r="A58" s="6" t="s">
        <v>770</v>
      </c>
      <c r="B58" s="6" t="s">
        <v>796</v>
      </c>
      <c r="C58" s="6" t="s">
        <v>770</v>
      </c>
      <c r="D58" s="6" t="s">
        <v>797</v>
      </c>
      <c r="E58" s="6" t="s">
        <v>17</v>
      </c>
      <c r="F58" s="6" t="s">
        <v>63</v>
      </c>
      <c r="G58" s="6" t="s">
        <v>798</v>
      </c>
      <c r="H58" s="6" t="s">
        <v>65</v>
      </c>
      <c r="I58" s="6" t="s">
        <v>799</v>
      </c>
      <c r="J58" s="6" t="s">
        <v>800</v>
      </c>
      <c r="K58" s="7" t="n">
        <v>46446</v>
      </c>
      <c r="L58" s="6" t="s">
        <v>68</v>
      </c>
      <c r="M58" s="7"/>
      <c r="N58" s="8" t="n">
        <f aca="false">IF(M58&lt;&gt;"",M58-Summary!$C$3,IF(K58="","",K58-Summary!$C$3))</f>
        <v>141</v>
      </c>
      <c r="O58" s="6" t="s">
        <v>4</v>
      </c>
      <c r="P58" s="6" t="s">
        <v>801</v>
      </c>
      <c r="Q58" s="6" t="s">
        <v>802</v>
      </c>
      <c r="R58" s="6" t="s">
        <v>803</v>
      </c>
      <c r="S58" s="6" t="s">
        <v>804</v>
      </c>
      <c r="T58" s="6" t="s">
        <v>89</v>
      </c>
      <c r="U58" s="6" t="s">
        <v>89</v>
      </c>
      <c r="V58" s="6" t="s">
        <v>89</v>
      </c>
      <c r="W58" s="6" t="s">
        <v>89</v>
      </c>
      <c r="X58" s="6" t="s">
        <v>89</v>
      </c>
      <c r="Y58" s="6" t="s">
        <v>805</v>
      </c>
      <c r="Z58" s="6" t="s">
        <v>79</v>
      </c>
      <c r="AA58" s="6" t="s">
        <v>80</v>
      </c>
    </row>
    <row r="59" customFormat="false" ht="43.25" hidden="false" customHeight="false" outlineLevel="0" collapsed="false">
      <c r="A59" s="6" t="s">
        <v>1536</v>
      </c>
      <c r="B59" s="6" t="s">
        <v>1537</v>
      </c>
      <c r="C59" s="6" t="s">
        <v>1538</v>
      </c>
      <c r="D59" s="6" t="s">
        <v>1539</v>
      </c>
      <c r="E59" s="6" t="s">
        <v>24</v>
      </c>
      <c r="F59" s="6" t="s">
        <v>147</v>
      </c>
      <c r="G59" s="6" t="s">
        <v>1540</v>
      </c>
      <c r="H59" s="6" t="s">
        <v>65</v>
      </c>
      <c r="I59" s="6" t="s">
        <v>1541</v>
      </c>
      <c r="J59" s="6" t="s">
        <v>1542</v>
      </c>
      <c r="K59" s="7" t="n">
        <v>46447</v>
      </c>
      <c r="L59" s="6" t="s">
        <v>68</v>
      </c>
      <c r="M59" s="7"/>
      <c r="N59" s="8" t="n">
        <f aca="false">IF(M59&lt;&gt;"",M59-Summary!$C$3,IF(K59="","",K59-Summary!$C$3))</f>
        <v>142</v>
      </c>
      <c r="O59" s="6" t="s">
        <v>4</v>
      </c>
      <c r="P59" s="6" t="s">
        <v>1543</v>
      </c>
      <c r="Q59" s="6" t="s">
        <v>1544</v>
      </c>
      <c r="R59" s="6" t="s">
        <v>1545</v>
      </c>
      <c r="S59" s="6" t="s">
        <v>1546</v>
      </c>
      <c r="T59" s="6" t="s">
        <v>1547</v>
      </c>
      <c r="U59" s="6" t="s">
        <v>216</v>
      </c>
      <c r="V59" s="6" t="s">
        <v>1548</v>
      </c>
      <c r="W59" s="6" t="s">
        <v>1549</v>
      </c>
      <c r="X59" s="6" t="s">
        <v>1550</v>
      </c>
      <c r="Y59" s="6" t="s">
        <v>1551</v>
      </c>
      <c r="Z59" s="6" t="s">
        <v>79</v>
      </c>
      <c r="AA59" s="6" t="s">
        <v>80</v>
      </c>
    </row>
    <row r="60" customFormat="false" ht="43.25" hidden="false" customHeight="false" outlineLevel="0" collapsed="false">
      <c r="A60" s="6" t="s">
        <v>1738</v>
      </c>
      <c r="B60" s="6" t="s">
        <v>1738</v>
      </c>
      <c r="C60" s="6" t="s">
        <v>1738</v>
      </c>
      <c r="D60" s="6" t="s">
        <v>1739</v>
      </c>
      <c r="E60" s="6" t="s">
        <v>21</v>
      </c>
      <c r="F60" s="6" t="s">
        <v>162</v>
      </c>
      <c r="G60" s="6" t="s">
        <v>1740</v>
      </c>
      <c r="H60" s="6" t="s">
        <v>65</v>
      </c>
      <c r="I60" s="6" t="s">
        <v>1741</v>
      </c>
      <c r="J60" s="6" t="s">
        <v>1742</v>
      </c>
      <c r="K60" s="7" t="n">
        <v>46463</v>
      </c>
      <c r="L60" s="6" t="s">
        <v>68</v>
      </c>
      <c r="M60" s="7"/>
      <c r="N60" s="8" t="n">
        <f aca="false">IF(M60&lt;&gt;"",M60-Summary!$C$3,IF(K60="","",K60-Summary!$C$3))</f>
        <v>158</v>
      </c>
      <c r="O60" s="6" t="s">
        <v>4</v>
      </c>
      <c r="P60" s="6" t="s">
        <v>69</v>
      </c>
      <c r="Q60" s="6" t="s">
        <v>134</v>
      </c>
      <c r="R60" s="6" t="s">
        <v>1743</v>
      </c>
      <c r="S60" s="6" t="s">
        <v>1744</v>
      </c>
      <c r="T60" s="6" t="s">
        <v>89</v>
      </c>
      <c r="U60" s="6" t="s">
        <v>89</v>
      </c>
      <c r="V60" s="6" t="s">
        <v>1745</v>
      </c>
      <c r="W60" s="6" t="s">
        <v>1746</v>
      </c>
      <c r="X60" s="6" t="s">
        <v>1747</v>
      </c>
      <c r="Y60" s="6" t="s">
        <v>1748</v>
      </c>
      <c r="Z60" s="6" t="s">
        <v>79</v>
      </c>
      <c r="AA60" s="6" t="s">
        <v>80</v>
      </c>
    </row>
    <row r="61" customFormat="false" ht="43.25" hidden="false" customHeight="false" outlineLevel="0" collapsed="false">
      <c r="A61" s="6" t="s">
        <v>1119</v>
      </c>
      <c r="B61" s="6" t="s">
        <v>1119</v>
      </c>
      <c r="C61" s="6" t="s">
        <v>1120</v>
      </c>
      <c r="D61" s="6" t="s">
        <v>1121</v>
      </c>
      <c r="E61" s="6" t="s">
        <v>17</v>
      </c>
      <c r="F61" s="6" t="s">
        <v>834</v>
      </c>
      <c r="G61" s="6" t="s">
        <v>122</v>
      </c>
      <c r="H61" s="6" t="s">
        <v>65</v>
      </c>
      <c r="I61" s="6" t="s">
        <v>1122</v>
      </c>
      <c r="J61" s="6" t="s">
        <v>1123</v>
      </c>
      <c r="K61" s="7" t="n">
        <v>46474</v>
      </c>
      <c r="L61" s="6" t="s">
        <v>68</v>
      </c>
      <c r="M61" s="7"/>
      <c r="N61" s="8" t="n">
        <f aca="false">IF(M61&lt;&gt;"",M61-Summary!$C$3,IF(K61="","",K61-Summary!$C$3))</f>
        <v>169</v>
      </c>
      <c r="O61" s="6" t="s">
        <v>4</v>
      </c>
      <c r="P61" s="6" t="s">
        <v>1124</v>
      </c>
      <c r="Q61" s="6" t="s">
        <v>1125</v>
      </c>
      <c r="R61" s="6" t="s">
        <v>1126</v>
      </c>
      <c r="S61" s="6" t="s">
        <v>1127</v>
      </c>
      <c r="T61" s="6" t="s">
        <v>89</v>
      </c>
      <c r="U61" s="6" t="s">
        <v>89</v>
      </c>
      <c r="V61" s="6" t="s">
        <v>89</v>
      </c>
      <c r="W61" s="6" t="s">
        <v>89</v>
      </c>
      <c r="X61" s="6" t="s">
        <v>89</v>
      </c>
      <c r="Y61" s="6" t="s">
        <v>1128</v>
      </c>
      <c r="Z61" s="6" t="s">
        <v>128</v>
      </c>
      <c r="AA61" s="6" t="s">
        <v>80</v>
      </c>
    </row>
    <row r="62" customFormat="false" ht="53.7" hidden="false" customHeight="false" outlineLevel="0" collapsed="false">
      <c r="A62" s="6" t="s">
        <v>1458</v>
      </c>
      <c r="B62" s="6" t="s">
        <v>1459</v>
      </c>
      <c r="C62" s="6" t="s">
        <v>1460</v>
      </c>
      <c r="D62" s="6" t="s">
        <v>1461</v>
      </c>
      <c r="E62" s="6" t="s">
        <v>21</v>
      </c>
      <c r="F62" s="6" t="s">
        <v>162</v>
      </c>
      <c r="G62" s="6" t="s">
        <v>1462</v>
      </c>
      <c r="H62" s="6" t="s">
        <v>344</v>
      </c>
      <c r="I62" s="6" t="s">
        <v>1463</v>
      </c>
      <c r="J62" s="6" t="s">
        <v>1464</v>
      </c>
      <c r="K62" s="7" t="n">
        <v>44662</v>
      </c>
      <c r="L62" s="6" t="s">
        <v>68</v>
      </c>
      <c r="M62" s="7" t="n">
        <v>46488</v>
      </c>
      <c r="N62" s="8" t="n">
        <f aca="false">IF(M62&lt;&gt;"",M62-Summary!$C$3,IF(K62="","",K62-Summary!$C$3))</f>
        <v>183</v>
      </c>
      <c r="O62" s="6" t="s">
        <v>4</v>
      </c>
      <c r="P62" s="6" t="s">
        <v>69</v>
      </c>
      <c r="Q62" s="6" t="s">
        <v>1465</v>
      </c>
      <c r="R62" s="6" t="s">
        <v>1466</v>
      </c>
      <c r="S62" s="6" t="s">
        <v>1467</v>
      </c>
      <c r="T62" s="6" t="s">
        <v>89</v>
      </c>
      <c r="U62" s="6" t="s">
        <v>1468</v>
      </c>
      <c r="V62" s="6" t="s">
        <v>110</v>
      </c>
      <c r="W62" s="6" t="s">
        <v>1469</v>
      </c>
      <c r="X62" s="6" t="s">
        <v>1470</v>
      </c>
      <c r="Y62" s="6" t="s">
        <v>1471</v>
      </c>
      <c r="Z62" s="6" t="s">
        <v>128</v>
      </c>
      <c r="AA62" s="6" t="s">
        <v>194</v>
      </c>
    </row>
    <row r="63" customFormat="false" ht="32.8" hidden="false" customHeight="false" outlineLevel="0" collapsed="false">
      <c r="A63" s="6" t="s">
        <v>1336</v>
      </c>
      <c r="B63" s="6" t="s">
        <v>1337</v>
      </c>
      <c r="C63" s="6" t="s">
        <v>1336</v>
      </c>
      <c r="D63" s="6" t="s">
        <v>1338</v>
      </c>
      <c r="E63" s="6" t="s">
        <v>21</v>
      </c>
      <c r="F63" s="6" t="s">
        <v>147</v>
      </c>
      <c r="G63" s="6" t="s">
        <v>1339</v>
      </c>
      <c r="H63" s="6" t="s">
        <v>1340</v>
      </c>
      <c r="I63" s="6" t="s">
        <v>1341</v>
      </c>
      <c r="J63" s="6" t="s">
        <v>1342</v>
      </c>
      <c r="K63" s="7" t="n">
        <v>46507</v>
      </c>
      <c r="L63" s="6" t="s">
        <v>68</v>
      </c>
      <c r="M63" s="7"/>
      <c r="N63" s="8" t="n">
        <f aca="false">IF(M63&lt;&gt;"",M63-Summary!$C$3,IF(K63="","",K63-Summary!$C$3))</f>
        <v>202</v>
      </c>
      <c r="O63" s="6" t="s">
        <v>4</v>
      </c>
      <c r="P63" s="6" t="s">
        <v>1343</v>
      </c>
      <c r="Q63" s="6" t="s">
        <v>1344</v>
      </c>
      <c r="R63" s="6" t="s">
        <v>1345</v>
      </c>
      <c r="S63" s="6" t="s">
        <v>1346</v>
      </c>
      <c r="T63" s="6" t="s">
        <v>1347</v>
      </c>
      <c r="U63" s="6" t="s">
        <v>89</v>
      </c>
      <c r="V63" s="6" t="s">
        <v>1348</v>
      </c>
      <c r="W63" s="6" t="s">
        <v>1349</v>
      </c>
      <c r="X63" s="6" t="s">
        <v>1350</v>
      </c>
      <c r="Y63" s="6" t="s">
        <v>1351</v>
      </c>
      <c r="Z63" s="6" t="s">
        <v>79</v>
      </c>
      <c r="AA63" s="6" t="s">
        <v>80</v>
      </c>
    </row>
    <row r="64" customFormat="false" ht="43.25" hidden="false" customHeight="false" outlineLevel="0" collapsed="false">
      <c r="A64" s="6" t="s">
        <v>1336</v>
      </c>
      <c r="B64" s="6" t="s">
        <v>1352</v>
      </c>
      <c r="C64" s="6" t="s">
        <v>1336</v>
      </c>
      <c r="D64" s="6" t="s">
        <v>1353</v>
      </c>
      <c r="E64" s="6" t="s">
        <v>18</v>
      </c>
      <c r="F64" s="6" t="s">
        <v>147</v>
      </c>
      <c r="G64" s="6" t="s">
        <v>1354</v>
      </c>
      <c r="H64" s="6" t="s">
        <v>1355</v>
      </c>
      <c r="I64" s="6" t="s">
        <v>1356</v>
      </c>
      <c r="J64" s="6" t="s">
        <v>1342</v>
      </c>
      <c r="K64" s="7" t="n">
        <v>46507</v>
      </c>
      <c r="L64" s="6" t="s">
        <v>68</v>
      </c>
      <c r="M64" s="7"/>
      <c r="N64" s="8" t="n">
        <f aca="false">IF(M64&lt;&gt;"",M64-Summary!$C$3,IF(K64="","",K64-Summary!$C$3))</f>
        <v>202</v>
      </c>
      <c r="O64" s="6" t="s">
        <v>4</v>
      </c>
      <c r="P64" s="6" t="s">
        <v>1357</v>
      </c>
      <c r="Q64" s="6" t="s">
        <v>1358</v>
      </c>
      <c r="R64" s="6" t="s">
        <v>1359</v>
      </c>
      <c r="S64" s="6" t="s">
        <v>1360</v>
      </c>
      <c r="T64" s="6" t="s">
        <v>1361</v>
      </c>
      <c r="U64" s="6" t="s">
        <v>89</v>
      </c>
      <c r="V64" s="6" t="s">
        <v>89</v>
      </c>
      <c r="W64" s="6" t="s">
        <v>89</v>
      </c>
      <c r="X64" s="6" t="s">
        <v>89</v>
      </c>
      <c r="Y64" s="6" t="s">
        <v>1362</v>
      </c>
      <c r="Z64" s="6" t="s">
        <v>79</v>
      </c>
      <c r="AA64" s="6" t="s">
        <v>80</v>
      </c>
    </row>
    <row r="65" customFormat="false" ht="53.7" hidden="false" customHeight="false" outlineLevel="0" collapsed="false">
      <c r="A65" s="6" t="s">
        <v>817</v>
      </c>
      <c r="B65" s="6" t="s">
        <v>818</v>
      </c>
      <c r="C65" s="6" t="s">
        <v>819</v>
      </c>
      <c r="D65" s="6" t="s">
        <v>820</v>
      </c>
      <c r="E65" s="6" t="s">
        <v>21</v>
      </c>
      <c r="F65" s="6" t="s">
        <v>224</v>
      </c>
      <c r="G65" s="6" t="s">
        <v>122</v>
      </c>
      <c r="H65" s="6" t="s">
        <v>344</v>
      </c>
      <c r="I65" s="6" t="s">
        <v>821</v>
      </c>
      <c r="J65" s="6" t="s">
        <v>822</v>
      </c>
      <c r="K65" s="7" t="n">
        <v>46521</v>
      </c>
      <c r="L65" s="6" t="s">
        <v>68</v>
      </c>
      <c r="M65" s="7"/>
      <c r="N65" s="8" t="n">
        <f aca="false">IF(M65&lt;&gt;"",M65-Summary!$C$3,IF(K65="","",K65-Summary!$C$3))</f>
        <v>216</v>
      </c>
      <c r="O65" s="6" t="s">
        <v>4</v>
      </c>
      <c r="P65" s="6" t="s">
        <v>186</v>
      </c>
      <c r="Q65" s="6" t="s">
        <v>823</v>
      </c>
      <c r="R65" s="6" t="s">
        <v>824</v>
      </c>
      <c r="S65" s="6" t="s">
        <v>825</v>
      </c>
      <c r="T65" s="6" t="s">
        <v>89</v>
      </c>
      <c r="U65" s="6" t="s">
        <v>89</v>
      </c>
      <c r="V65" s="6" t="s">
        <v>826</v>
      </c>
      <c r="W65" s="6" t="s">
        <v>827</v>
      </c>
      <c r="X65" s="6" t="s">
        <v>828</v>
      </c>
      <c r="Y65" s="6" t="s">
        <v>829</v>
      </c>
      <c r="Z65" s="6" t="s">
        <v>128</v>
      </c>
      <c r="AA65" s="6" t="s">
        <v>194</v>
      </c>
    </row>
    <row r="66" customFormat="false" ht="53.7" hidden="false" customHeight="false" outlineLevel="0" collapsed="false">
      <c r="A66" s="6" t="s">
        <v>375</v>
      </c>
      <c r="B66" s="6" t="s">
        <v>375</v>
      </c>
      <c r="C66" s="6" t="s">
        <v>375</v>
      </c>
      <c r="D66" s="6" t="s">
        <v>376</v>
      </c>
      <c r="E66" s="6" t="s">
        <v>21</v>
      </c>
      <c r="F66" s="6" t="s">
        <v>224</v>
      </c>
      <c r="G66" s="6" t="s">
        <v>122</v>
      </c>
      <c r="H66" s="6" t="s">
        <v>65</v>
      </c>
      <c r="I66" s="6" t="s">
        <v>377</v>
      </c>
      <c r="J66" s="6" t="s">
        <v>378</v>
      </c>
      <c r="K66" s="7" t="n">
        <v>46538</v>
      </c>
      <c r="L66" s="6" t="s">
        <v>68</v>
      </c>
      <c r="M66" s="7"/>
      <c r="N66" s="8" t="n">
        <f aca="false">IF(M66&lt;&gt;"",M66-Summary!$C$3,IF(K66="","",K66-Summary!$C$3))</f>
        <v>233</v>
      </c>
      <c r="O66" s="6" t="s">
        <v>4</v>
      </c>
      <c r="P66" s="6" t="s">
        <v>69</v>
      </c>
      <c r="Q66" s="6" t="s">
        <v>134</v>
      </c>
      <c r="R66" s="6" t="s">
        <v>379</v>
      </c>
      <c r="S66" s="6" t="s">
        <v>380</v>
      </c>
      <c r="T66" s="6" t="s">
        <v>89</v>
      </c>
      <c r="U66" s="6" t="s">
        <v>89</v>
      </c>
      <c r="V66" s="6" t="s">
        <v>381</v>
      </c>
      <c r="W66" s="6" t="s">
        <v>382</v>
      </c>
      <c r="X66" s="6" t="s">
        <v>383</v>
      </c>
      <c r="Y66" s="6" t="s">
        <v>384</v>
      </c>
      <c r="Z66" s="6" t="s">
        <v>128</v>
      </c>
      <c r="AA66" s="6" t="s">
        <v>194</v>
      </c>
    </row>
    <row r="67" customFormat="false" ht="74.6" hidden="false" customHeight="false" outlineLevel="0" collapsed="false">
      <c r="A67" s="6" t="s">
        <v>1271</v>
      </c>
      <c r="B67" s="6" t="s">
        <v>1272</v>
      </c>
      <c r="C67" s="6" t="s">
        <v>1273</v>
      </c>
      <c r="D67" s="6" t="s">
        <v>1274</v>
      </c>
      <c r="E67" s="6" t="s">
        <v>17</v>
      </c>
      <c r="F67" s="6" t="s">
        <v>1275</v>
      </c>
      <c r="G67" s="6" t="s">
        <v>122</v>
      </c>
      <c r="H67" s="6" t="s">
        <v>1276</v>
      </c>
      <c r="I67" s="6" t="s">
        <v>1277</v>
      </c>
      <c r="J67" s="6" t="s">
        <v>1278</v>
      </c>
      <c r="K67" s="7" t="n">
        <v>46539</v>
      </c>
      <c r="L67" s="6" t="s">
        <v>68</v>
      </c>
      <c r="M67" s="7"/>
      <c r="N67" s="8" t="n">
        <f aca="false">IF(M67&lt;&gt;"",M67-Summary!$C$3,IF(K67="","",K67-Summary!$C$3))</f>
        <v>234</v>
      </c>
      <c r="O67" s="6" t="s">
        <v>4</v>
      </c>
      <c r="P67" s="6" t="s">
        <v>1279</v>
      </c>
      <c r="Q67" s="6" t="s">
        <v>89</v>
      </c>
      <c r="R67" s="6" t="s">
        <v>1280</v>
      </c>
      <c r="S67" s="6" t="s">
        <v>1281</v>
      </c>
      <c r="T67" s="6" t="s">
        <v>89</v>
      </c>
      <c r="U67" s="6" t="s">
        <v>89</v>
      </c>
      <c r="V67" s="6" t="s">
        <v>1282</v>
      </c>
      <c r="W67" s="6" t="s">
        <v>89</v>
      </c>
      <c r="X67" s="6" t="s">
        <v>1283</v>
      </c>
      <c r="Y67" s="6" t="s">
        <v>1284</v>
      </c>
      <c r="Z67" s="6" t="s">
        <v>79</v>
      </c>
      <c r="AA67" s="6" t="s">
        <v>194</v>
      </c>
    </row>
    <row r="68" customFormat="false" ht="64.15" hidden="false" customHeight="false" outlineLevel="0" collapsed="false">
      <c r="A68" s="6" t="s">
        <v>1363</v>
      </c>
      <c r="B68" s="6" t="s">
        <v>1364</v>
      </c>
      <c r="C68" s="6" t="s">
        <v>1365</v>
      </c>
      <c r="D68" s="6" t="s">
        <v>1366</v>
      </c>
      <c r="E68" s="6" t="s">
        <v>26</v>
      </c>
      <c r="F68" s="6" t="s">
        <v>454</v>
      </c>
      <c r="G68" s="6" t="s">
        <v>1367</v>
      </c>
      <c r="H68" s="6" t="s">
        <v>1082</v>
      </c>
      <c r="I68" s="6" t="s">
        <v>1368</v>
      </c>
      <c r="J68" s="6" t="s">
        <v>1369</v>
      </c>
      <c r="K68" s="7" t="n">
        <v>46543</v>
      </c>
      <c r="L68" s="6" t="s">
        <v>68</v>
      </c>
      <c r="M68" s="7"/>
      <c r="N68" s="8" t="n">
        <f aca="false">IF(M68&lt;&gt;"",M68-Summary!$C$3,IF(K68="","",K68-Summary!$C$3))</f>
        <v>238</v>
      </c>
      <c r="O68" s="6" t="s">
        <v>4</v>
      </c>
      <c r="P68" s="6" t="s">
        <v>1370</v>
      </c>
      <c r="Q68" s="6" t="s">
        <v>1371</v>
      </c>
      <c r="R68" s="6" t="s">
        <v>1372</v>
      </c>
      <c r="S68" s="6" t="s">
        <v>1373</v>
      </c>
      <c r="T68" s="6" t="s">
        <v>1374</v>
      </c>
      <c r="U68" s="6" t="s">
        <v>89</v>
      </c>
      <c r="V68" s="6" t="s">
        <v>1375</v>
      </c>
      <c r="W68" s="6" t="s">
        <v>1376</v>
      </c>
      <c r="X68" s="6" t="s">
        <v>1377</v>
      </c>
      <c r="Y68" s="6" t="s">
        <v>1378</v>
      </c>
      <c r="Z68" s="6" t="s">
        <v>79</v>
      </c>
      <c r="AA68" s="6" t="s">
        <v>80</v>
      </c>
    </row>
    <row r="69" customFormat="false" ht="53.7" hidden="false" customHeight="false" outlineLevel="0" collapsed="false">
      <c r="A69" s="6" t="s">
        <v>263</v>
      </c>
      <c r="B69" s="6" t="s">
        <v>263</v>
      </c>
      <c r="C69" s="6" t="s">
        <v>263</v>
      </c>
      <c r="D69" s="6" t="s">
        <v>264</v>
      </c>
      <c r="E69" s="6" t="s">
        <v>21</v>
      </c>
      <c r="F69" s="6" t="s">
        <v>162</v>
      </c>
      <c r="G69" s="6" t="s">
        <v>122</v>
      </c>
      <c r="H69" s="6" t="s">
        <v>65</v>
      </c>
      <c r="I69" s="6" t="s">
        <v>265</v>
      </c>
      <c r="J69" s="6" t="s">
        <v>266</v>
      </c>
      <c r="K69" s="7" t="n">
        <v>46568</v>
      </c>
      <c r="L69" s="6" t="s">
        <v>68</v>
      </c>
      <c r="M69" s="7"/>
      <c r="N69" s="8" t="n">
        <f aca="false">IF(M69&lt;&gt;"",M69-Summary!$C$3,IF(K69="","",K69-Summary!$C$3))</f>
        <v>263</v>
      </c>
      <c r="O69" s="6" t="s">
        <v>4</v>
      </c>
      <c r="P69" s="6" t="s">
        <v>69</v>
      </c>
      <c r="Q69" s="6" t="s">
        <v>134</v>
      </c>
      <c r="R69" s="6" t="s">
        <v>267</v>
      </c>
      <c r="S69" s="6" t="s">
        <v>268</v>
      </c>
      <c r="T69" s="6" t="s">
        <v>89</v>
      </c>
      <c r="U69" s="6" t="s">
        <v>269</v>
      </c>
      <c r="V69" s="6" t="s">
        <v>270</v>
      </c>
      <c r="W69" s="6" t="s">
        <v>271</v>
      </c>
      <c r="X69" s="6" t="s">
        <v>272</v>
      </c>
      <c r="Y69" s="6" t="s">
        <v>273</v>
      </c>
      <c r="Z69" s="6" t="s">
        <v>79</v>
      </c>
      <c r="AA69" s="6" t="s">
        <v>80</v>
      </c>
    </row>
    <row r="70" customFormat="false" ht="53.7" hidden="false" customHeight="false" outlineLevel="0" collapsed="false">
      <c r="A70" s="6" t="s">
        <v>632</v>
      </c>
      <c r="B70" s="6" t="s">
        <v>633</v>
      </c>
      <c r="C70" s="6" t="s">
        <v>634</v>
      </c>
      <c r="D70" s="6" t="s">
        <v>635</v>
      </c>
      <c r="E70" s="6" t="s">
        <v>18</v>
      </c>
      <c r="F70" s="6" t="s">
        <v>224</v>
      </c>
      <c r="G70" s="6" t="s">
        <v>636</v>
      </c>
      <c r="H70" s="6" t="s">
        <v>65</v>
      </c>
      <c r="I70" s="6" t="s">
        <v>200</v>
      </c>
      <c r="J70" s="6" t="s">
        <v>637</v>
      </c>
      <c r="K70" s="7" t="n">
        <v>46568</v>
      </c>
      <c r="L70" s="6" t="s">
        <v>68</v>
      </c>
      <c r="M70" s="7"/>
      <c r="N70" s="8" t="n">
        <f aca="false">IF(M70&lt;&gt;"",M70-Summary!$C$3,IF(K70="","",K70-Summary!$C$3))</f>
        <v>263</v>
      </c>
      <c r="O70" s="6" t="s">
        <v>4</v>
      </c>
      <c r="P70" s="6" t="s">
        <v>638</v>
      </c>
      <c r="Q70" s="6" t="s">
        <v>639</v>
      </c>
      <c r="R70" s="6" t="s">
        <v>640</v>
      </c>
      <c r="S70" s="6" t="s">
        <v>641</v>
      </c>
      <c r="T70" s="6" t="s">
        <v>89</v>
      </c>
      <c r="U70" s="6" t="s">
        <v>89</v>
      </c>
      <c r="V70" s="6" t="s">
        <v>89</v>
      </c>
      <c r="W70" s="6" t="s">
        <v>89</v>
      </c>
      <c r="X70" s="6" t="s">
        <v>89</v>
      </c>
      <c r="Y70" s="6" t="s">
        <v>642</v>
      </c>
      <c r="Z70" s="6" t="s">
        <v>79</v>
      </c>
      <c r="AA70" s="6" t="s">
        <v>80</v>
      </c>
    </row>
    <row r="71" customFormat="false" ht="43.25" hidden="false" customHeight="false" outlineLevel="0" collapsed="false">
      <c r="A71" s="6" t="s">
        <v>770</v>
      </c>
      <c r="B71" s="6" t="s">
        <v>806</v>
      </c>
      <c r="C71" s="6" t="s">
        <v>770</v>
      </c>
      <c r="D71" s="6" t="s">
        <v>807</v>
      </c>
      <c r="E71" s="6" t="s">
        <v>26</v>
      </c>
      <c r="F71" s="6" t="s">
        <v>808</v>
      </c>
      <c r="G71" s="6" t="s">
        <v>122</v>
      </c>
      <c r="H71" s="6" t="s">
        <v>65</v>
      </c>
      <c r="I71" s="6" t="s">
        <v>809</v>
      </c>
      <c r="J71" s="6" t="s">
        <v>637</v>
      </c>
      <c r="K71" s="7" t="n">
        <v>46568</v>
      </c>
      <c r="L71" s="6" t="s">
        <v>68</v>
      </c>
      <c r="M71" s="7"/>
      <c r="N71" s="8" t="n">
        <f aca="false">IF(M71&lt;&gt;"",M71-Summary!$C$3,IF(K71="","",K71-Summary!$C$3))</f>
        <v>263</v>
      </c>
      <c r="O71" s="6" t="s">
        <v>4</v>
      </c>
      <c r="P71" s="6" t="s">
        <v>810</v>
      </c>
      <c r="Q71" s="6" t="s">
        <v>811</v>
      </c>
      <c r="R71" s="6" t="s">
        <v>812</v>
      </c>
      <c r="S71" s="6" t="s">
        <v>813</v>
      </c>
      <c r="T71" s="6" t="s">
        <v>89</v>
      </c>
      <c r="U71" s="6" t="s">
        <v>89</v>
      </c>
      <c r="V71" s="6" t="s">
        <v>89</v>
      </c>
      <c r="W71" s="6" t="s">
        <v>814</v>
      </c>
      <c r="X71" s="6" t="s">
        <v>815</v>
      </c>
      <c r="Y71" s="6" t="s">
        <v>816</v>
      </c>
      <c r="Z71" s="6" t="s">
        <v>79</v>
      </c>
      <c r="AA71" s="6" t="s">
        <v>80</v>
      </c>
    </row>
    <row r="72" customFormat="false" ht="43.25" hidden="false" customHeight="false" outlineLevel="0" collapsed="false">
      <c r="A72" s="6" t="s">
        <v>983</v>
      </c>
      <c r="B72" s="6" t="s">
        <v>984</v>
      </c>
      <c r="C72" s="6" t="s">
        <v>985</v>
      </c>
      <c r="D72" s="6" t="s">
        <v>986</v>
      </c>
      <c r="E72" s="6" t="s">
        <v>17</v>
      </c>
      <c r="F72" s="6" t="s">
        <v>987</v>
      </c>
      <c r="G72" s="6" t="s">
        <v>122</v>
      </c>
      <c r="H72" s="6" t="s">
        <v>988</v>
      </c>
      <c r="I72" s="6" t="s">
        <v>989</v>
      </c>
      <c r="J72" s="6" t="s">
        <v>637</v>
      </c>
      <c r="K72" s="7" t="n">
        <v>46568</v>
      </c>
      <c r="L72" s="6" t="s">
        <v>68</v>
      </c>
      <c r="M72" s="7"/>
      <c r="N72" s="8" t="n">
        <f aca="false">IF(M72&lt;&gt;"",M72-Summary!$C$3,IF(K72="","",K72-Summary!$C$3))</f>
        <v>263</v>
      </c>
      <c r="O72" s="6" t="s">
        <v>4</v>
      </c>
      <c r="P72" s="6" t="s">
        <v>990</v>
      </c>
      <c r="Q72" s="6" t="s">
        <v>228</v>
      </c>
      <c r="R72" s="6" t="s">
        <v>991</v>
      </c>
      <c r="S72" s="6" t="s">
        <v>992</v>
      </c>
      <c r="T72" s="6" t="s">
        <v>993</v>
      </c>
      <c r="U72" s="6" t="s">
        <v>89</v>
      </c>
      <c r="V72" s="6" t="s">
        <v>89</v>
      </c>
      <c r="W72" s="6" t="s">
        <v>994</v>
      </c>
      <c r="X72" s="6" t="s">
        <v>995</v>
      </c>
      <c r="Y72" s="6" t="s">
        <v>996</v>
      </c>
      <c r="Z72" s="6" t="s">
        <v>79</v>
      </c>
      <c r="AA72" s="6" t="s">
        <v>194</v>
      </c>
    </row>
    <row r="73" customFormat="false" ht="53.7" hidden="false" customHeight="false" outlineLevel="0" collapsed="false">
      <c r="A73" s="6" t="s">
        <v>1309</v>
      </c>
      <c r="B73" s="6" t="s">
        <v>1310</v>
      </c>
      <c r="C73" s="6" t="s">
        <v>1311</v>
      </c>
      <c r="D73" s="6" t="s">
        <v>1312</v>
      </c>
      <c r="E73" s="6" t="s">
        <v>21</v>
      </c>
      <c r="F73" s="6" t="s">
        <v>162</v>
      </c>
      <c r="G73" s="6" t="s">
        <v>122</v>
      </c>
      <c r="H73" s="6" t="s">
        <v>65</v>
      </c>
      <c r="I73" s="6" t="s">
        <v>1313</v>
      </c>
      <c r="J73" s="6" t="s">
        <v>1314</v>
      </c>
      <c r="K73" s="7" t="n">
        <v>46599</v>
      </c>
      <c r="L73" s="6" t="s">
        <v>68</v>
      </c>
      <c r="M73" s="7"/>
      <c r="N73" s="8" t="n">
        <f aca="false">IF(M73&lt;&gt;"",M73-Summary!$C$3,IF(K73="","",K73-Summary!$C$3))</f>
        <v>294</v>
      </c>
      <c r="O73" s="6" t="s">
        <v>4</v>
      </c>
      <c r="P73" s="6" t="s">
        <v>69</v>
      </c>
      <c r="Q73" s="6" t="s">
        <v>89</v>
      </c>
      <c r="R73" s="6" t="s">
        <v>1315</v>
      </c>
      <c r="S73" s="6" t="s">
        <v>1316</v>
      </c>
      <c r="T73" s="6" t="s">
        <v>1317</v>
      </c>
      <c r="U73" s="6" t="s">
        <v>89</v>
      </c>
      <c r="V73" s="6" t="s">
        <v>89</v>
      </c>
      <c r="W73" s="6" t="s">
        <v>1318</v>
      </c>
      <c r="X73" s="6" t="s">
        <v>1319</v>
      </c>
      <c r="Y73" s="6" t="s">
        <v>1320</v>
      </c>
      <c r="Z73" s="6" t="s">
        <v>128</v>
      </c>
      <c r="AA73" s="6" t="s">
        <v>80</v>
      </c>
    </row>
    <row r="74" customFormat="false" ht="53.7" hidden="false" customHeight="false" outlineLevel="0" collapsed="false">
      <c r="A74" s="6" t="s">
        <v>1429</v>
      </c>
      <c r="B74" s="6" t="s">
        <v>1406</v>
      </c>
      <c r="C74" s="6" t="s">
        <v>1430</v>
      </c>
      <c r="D74" s="6" t="s">
        <v>1431</v>
      </c>
      <c r="E74" s="6" t="s">
        <v>19</v>
      </c>
      <c r="F74" s="6" t="s">
        <v>1053</v>
      </c>
      <c r="G74" s="6" t="s">
        <v>1432</v>
      </c>
      <c r="H74" s="6" t="s">
        <v>344</v>
      </c>
      <c r="I74" s="6" t="s">
        <v>1433</v>
      </c>
      <c r="J74" s="6" t="s">
        <v>1434</v>
      </c>
      <c r="K74" s="7" t="n">
        <v>43691</v>
      </c>
      <c r="L74" s="6" t="s">
        <v>68</v>
      </c>
      <c r="M74" s="7" t="n">
        <v>46613</v>
      </c>
      <c r="N74" s="8" t="n">
        <f aca="false">IF(M74&lt;&gt;"",M74-Summary!$C$3,IF(K74="","",K74-Summary!$C$3))</f>
        <v>308</v>
      </c>
      <c r="O74" s="6" t="s">
        <v>4</v>
      </c>
      <c r="P74" s="6" t="s">
        <v>69</v>
      </c>
      <c r="Q74" s="6" t="s">
        <v>1435</v>
      </c>
      <c r="R74" s="6" t="s">
        <v>1436</v>
      </c>
      <c r="S74" s="6" t="s">
        <v>1437</v>
      </c>
      <c r="T74" s="6" t="s">
        <v>89</v>
      </c>
      <c r="U74" s="6" t="s">
        <v>1438</v>
      </c>
      <c r="V74" s="6" t="s">
        <v>1439</v>
      </c>
      <c r="W74" s="6" t="s">
        <v>1440</v>
      </c>
      <c r="X74" s="6" t="s">
        <v>1441</v>
      </c>
      <c r="Y74" s="6" t="s">
        <v>1442</v>
      </c>
      <c r="Z74" s="6" t="s">
        <v>128</v>
      </c>
      <c r="AA74" s="6" t="s">
        <v>194</v>
      </c>
    </row>
    <row r="75" customFormat="false" ht="43.25" hidden="false" customHeight="false" outlineLevel="0" collapsed="false">
      <c r="A75" s="6" t="s">
        <v>1021</v>
      </c>
      <c r="B75" s="6" t="s">
        <v>1022</v>
      </c>
      <c r="C75" s="6" t="s">
        <v>1023</v>
      </c>
      <c r="D75" s="6" t="s">
        <v>1024</v>
      </c>
      <c r="E75" s="6" t="s">
        <v>25</v>
      </c>
      <c r="F75" s="6" t="s">
        <v>834</v>
      </c>
      <c r="G75" s="6" t="s">
        <v>1025</v>
      </c>
      <c r="H75" s="6" t="s">
        <v>65</v>
      </c>
      <c r="I75" s="6" t="s">
        <v>1026</v>
      </c>
      <c r="J75" s="6" t="s">
        <v>1027</v>
      </c>
      <c r="K75" s="7" t="n">
        <v>46630</v>
      </c>
      <c r="L75" s="6" t="s">
        <v>68</v>
      </c>
      <c r="M75" s="7"/>
      <c r="N75" s="8" t="n">
        <f aca="false">IF(M75&lt;&gt;"",M75-Summary!$C$3,IF(K75="","",K75-Summary!$C$3))</f>
        <v>325</v>
      </c>
      <c r="O75" s="6" t="s">
        <v>4</v>
      </c>
      <c r="P75" s="6" t="s">
        <v>69</v>
      </c>
      <c r="Q75" s="6" t="s">
        <v>1028</v>
      </c>
      <c r="R75" s="6" t="s">
        <v>1029</v>
      </c>
      <c r="S75" s="6" t="s">
        <v>1030</v>
      </c>
      <c r="T75" s="6" t="s">
        <v>89</v>
      </c>
      <c r="U75" s="6" t="s">
        <v>1031</v>
      </c>
      <c r="V75" s="6" t="s">
        <v>1032</v>
      </c>
      <c r="W75" s="6" t="s">
        <v>1033</v>
      </c>
      <c r="X75" s="6" t="s">
        <v>1034</v>
      </c>
      <c r="Y75" s="6" t="s">
        <v>1035</v>
      </c>
      <c r="Z75" s="6" t="s">
        <v>79</v>
      </c>
      <c r="AA75" s="6" t="s">
        <v>80</v>
      </c>
    </row>
    <row r="76" customFormat="false" ht="53.7" hidden="false" customHeight="false" outlineLevel="0" collapsed="false">
      <c r="A76" s="6" t="s">
        <v>1246</v>
      </c>
      <c r="B76" s="6" t="s">
        <v>1247</v>
      </c>
      <c r="C76" s="6" t="s">
        <v>1248</v>
      </c>
      <c r="D76" s="6" t="s">
        <v>1249</v>
      </c>
      <c r="E76" s="6" t="s">
        <v>21</v>
      </c>
      <c r="F76" s="6" t="s">
        <v>224</v>
      </c>
      <c r="G76" s="6" t="s">
        <v>1250</v>
      </c>
      <c r="H76" s="6" t="s">
        <v>65</v>
      </c>
      <c r="I76" s="6" t="s">
        <v>1026</v>
      </c>
      <c r="J76" s="6" t="s">
        <v>1251</v>
      </c>
      <c r="K76" s="7" t="n">
        <v>46630</v>
      </c>
      <c r="L76" s="6" t="s">
        <v>68</v>
      </c>
      <c r="M76" s="7"/>
      <c r="N76" s="8" t="n">
        <f aca="false">IF(M76&lt;&gt;"",M76-Summary!$C$3,IF(K76="","",K76-Summary!$C$3))</f>
        <v>325</v>
      </c>
      <c r="O76" s="6" t="s">
        <v>4</v>
      </c>
      <c r="P76" s="6" t="s">
        <v>69</v>
      </c>
      <c r="Q76" s="6" t="s">
        <v>1225</v>
      </c>
      <c r="R76" s="6" t="s">
        <v>1252</v>
      </c>
      <c r="S76" s="6" t="s">
        <v>1253</v>
      </c>
      <c r="T76" s="6" t="s">
        <v>1254</v>
      </c>
      <c r="U76" s="6" t="s">
        <v>1255</v>
      </c>
      <c r="V76" s="6" t="s">
        <v>1256</v>
      </c>
      <c r="W76" s="6" t="s">
        <v>1257</v>
      </c>
      <c r="X76" s="6" t="s">
        <v>1258</v>
      </c>
      <c r="Y76" s="6" t="s">
        <v>1259</v>
      </c>
      <c r="Z76" s="6" t="s">
        <v>79</v>
      </c>
      <c r="AA76" s="6" t="s">
        <v>80</v>
      </c>
    </row>
    <row r="77" customFormat="false" ht="53.7" hidden="false" customHeight="false" outlineLevel="0" collapsed="false">
      <c r="A77" s="6" t="s">
        <v>1405</v>
      </c>
      <c r="B77" s="6" t="s">
        <v>1406</v>
      </c>
      <c r="C77" s="6" t="s">
        <v>1407</v>
      </c>
      <c r="D77" s="6" t="s">
        <v>1408</v>
      </c>
      <c r="E77" s="6" t="s">
        <v>19</v>
      </c>
      <c r="F77" s="6" t="s">
        <v>224</v>
      </c>
      <c r="G77" s="6" t="s">
        <v>1409</v>
      </c>
      <c r="H77" s="6" t="s">
        <v>344</v>
      </c>
      <c r="I77" s="6" t="s">
        <v>1410</v>
      </c>
      <c r="J77" s="6" t="s">
        <v>1411</v>
      </c>
      <c r="K77" s="7" t="n">
        <v>42978</v>
      </c>
      <c r="L77" s="6" t="s">
        <v>68</v>
      </c>
      <c r="M77" s="7" t="n">
        <v>46630</v>
      </c>
      <c r="N77" s="8" t="n">
        <f aca="false">IF(M77&lt;&gt;"",M77-Summary!$C$3,IF(K77="","",K77-Summary!$C$3))</f>
        <v>325</v>
      </c>
      <c r="O77" s="6" t="s">
        <v>4</v>
      </c>
      <c r="P77" s="6" t="s">
        <v>69</v>
      </c>
      <c r="Q77" s="6" t="s">
        <v>134</v>
      </c>
      <c r="R77" s="6" t="s">
        <v>1412</v>
      </c>
      <c r="S77" s="6" t="s">
        <v>1413</v>
      </c>
      <c r="T77" s="6" t="s">
        <v>1414</v>
      </c>
      <c r="U77" s="6" t="s">
        <v>1415</v>
      </c>
      <c r="V77" s="6" t="s">
        <v>1416</v>
      </c>
      <c r="W77" s="6" t="s">
        <v>1417</v>
      </c>
      <c r="X77" s="6" t="s">
        <v>1418</v>
      </c>
      <c r="Y77" s="6" t="s">
        <v>1419</v>
      </c>
      <c r="Z77" s="6" t="s">
        <v>128</v>
      </c>
      <c r="AA77" s="6" t="s">
        <v>194</v>
      </c>
    </row>
    <row r="78" customFormat="false" ht="32.8" hidden="false" customHeight="false" outlineLevel="0" collapsed="false">
      <c r="A78" s="6" t="s">
        <v>903</v>
      </c>
      <c r="B78" s="6" t="s">
        <v>904</v>
      </c>
      <c r="C78" s="6" t="s">
        <v>903</v>
      </c>
      <c r="D78" s="6" t="s">
        <v>905</v>
      </c>
      <c r="E78" s="6" t="s">
        <v>21</v>
      </c>
      <c r="F78" s="6" t="s">
        <v>224</v>
      </c>
      <c r="G78" s="6" t="s">
        <v>122</v>
      </c>
      <c r="H78" s="6" t="s">
        <v>344</v>
      </c>
      <c r="I78" s="6" t="s">
        <v>906</v>
      </c>
      <c r="J78" s="6" t="s">
        <v>907</v>
      </c>
      <c r="K78" s="7" t="n">
        <v>44088</v>
      </c>
      <c r="L78" s="6" t="s">
        <v>68</v>
      </c>
      <c r="M78" s="7" t="n">
        <v>46644</v>
      </c>
      <c r="N78" s="8" t="n">
        <f aca="false">IF(M78&lt;&gt;"",M78-Summary!$C$3,IF(K78="","",K78-Summary!$C$3))</f>
        <v>339</v>
      </c>
      <c r="O78" s="6" t="s">
        <v>4</v>
      </c>
      <c r="P78" s="6" t="s">
        <v>69</v>
      </c>
      <c r="Q78" s="6" t="s">
        <v>908</v>
      </c>
      <c r="R78" s="6" t="s">
        <v>909</v>
      </c>
      <c r="S78" s="6" t="s">
        <v>910</v>
      </c>
      <c r="T78" s="6" t="s">
        <v>89</v>
      </c>
      <c r="U78" s="6" t="s">
        <v>89</v>
      </c>
      <c r="V78" s="6" t="s">
        <v>911</v>
      </c>
      <c r="W78" s="6" t="s">
        <v>912</v>
      </c>
      <c r="X78" s="6" t="s">
        <v>913</v>
      </c>
      <c r="Y78" s="6" t="s">
        <v>914</v>
      </c>
      <c r="Z78" s="6" t="s">
        <v>128</v>
      </c>
      <c r="AA78" s="6" t="s">
        <v>194</v>
      </c>
    </row>
    <row r="79" customFormat="false" ht="53.7" hidden="false" customHeight="false" outlineLevel="0" collapsed="false">
      <c r="A79" s="6" t="s">
        <v>1220</v>
      </c>
      <c r="B79" s="6" t="s">
        <v>1221</v>
      </c>
      <c r="C79" s="6" t="s">
        <v>1220</v>
      </c>
      <c r="D79" s="6" t="s">
        <v>1222</v>
      </c>
      <c r="E79" s="6" t="s">
        <v>21</v>
      </c>
      <c r="F79" s="6" t="s">
        <v>224</v>
      </c>
      <c r="G79" s="6" t="s">
        <v>122</v>
      </c>
      <c r="H79" s="6" t="s">
        <v>65</v>
      </c>
      <c r="I79" s="6" t="s">
        <v>1223</v>
      </c>
      <c r="J79" s="6" t="s">
        <v>1224</v>
      </c>
      <c r="K79" s="7" t="n">
        <v>46648</v>
      </c>
      <c r="L79" s="6" t="s">
        <v>68</v>
      </c>
      <c r="M79" s="7"/>
      <c r="N79" s="8" t="n">
        <f aca="false">IF(M79&lt;&gt;"",M79-Summary!$C$3,IF(K79="","",K79-Summary!$C$3))</f>
        <v>343</v>
      </c>
      <c r="O79" s="6" t="s">
        <v>4</v>
      </c>
      <c r="P79" s="6" t="s">
        <v>69</v>
      </c>
      <c r="Q79" s="6" t="s">
        <v>1225</v>
      </c>
      <c r="R79" s="6" t="s">
        <v>1226</v>
      </c>
      <c r="S79" s="6" t="s">
        <v>1227</v>
      </c>
      <c r="T79" s="6" t="s">
        <v>1017</v>
      </c>
      <c r="U79" s="6" t="s">
        <v>1228</v>
      </c>
      <c r="V79" s="6" t="s">
        <v>1229</v>
      </c>
      <c r="W79" s="6" t="s">
        <v>1230</v>
      </c>
      <c r="X79" s="6" t="s">
        <v>1231</v>
      </c>
      <c r="Y79" s="6" t="s">
        <v>1232</v>
      </c>
      <c r="Z79" s="6" t="s">
        <v>79</v>
      </c>
      <c r="AA79" s="6" t="s">
        <v>80</v>
      </c>
    </row>
    <row r="80" customFormat="false" ht="43.25" hidden="false" customHeight="false" outlineLevel="0" collapsed="false">
      <c r="A80" s="6" t="s">
        <v>702</v>
      </c>
      <c r="B80" s="6" t="s">
        <v>703</v>
      </c>
      <c r="C80" s="6" t="s">
        <v>704</v>
      </c>
      <c r="D80" s="6" t="s">
        <v>705</v>
      </c>
      <c r="E80" s="6" t="s">
        <v>21</v>
      </c>
      <c r="F80" s="6" t="s">
        <v>63</v>
      </c>
      <c r="G80" s="6" t="s">
        <v>122</v>
      </c>
      <c r="H80" s="6" t="s">
        <v>65</v>
      </c>
      <c r="I80" s="6" t="s">
        <v>706</v>
      </c>
      <c r="J80" s="6" t="s">
        <v>707</v>
      </c>
      <c r="K80" s="7" t="n">
        <v>45920</v>
      </c>
      <c r="L80" s="6" t="s">
        <v>68</v>
      </c>
      <c r="M80" s="7" t="n">
        <v>46650</v>
      </c>
      <c r="N80" s="8" t="n">
        <f aca="false">IF(M80&lt;&gt;"",M80-Summary!$C$3,IF(K80="","",K80-Summary!$C$3))</f>
        <v>345</v>
      </c>
      <c r="O80" s="6" t="s">
        <v>4</v>
      </c>
      <c r="P80" s="6" t="s">
        <v>69</v>
      </c>
      <c r="Q80" s="6" t="s">
        <v>134</v>
      </c>
      <c r="R80" s="6" t="s">
        <v>326</v>
      </c>
      <c r="S80" s="6" t="s">
        <v>708</v>
      </c>
      <c r="T80" s="6" t="s">
        <v>89</v>
      </c>
      <c r="U80" s="6" t="s">
        <v>709</v>
      </c>
      <c r="V80" s="6" t="s">
        <v>710</v>
      </c>
      <c r="W80" s="6" t="s">
        <v>711</v>
      </c>
      <c r="X80" s="6" t="s">
        <v>712</v>
      </c>
      <c r="Y80" s="6" t="s">
        <v>713</v>
      </c>
      <c r="Z80" s="6" t="s">
        <v>79</v>
      </c>
      <c r="AA80" s="6" t="s">
        <v>194</v>
      </c>
    </row>
    <row r="81" customFormat="false" ht="43.25" hidden="false" customHeight="false" outlineLevel="0" collapsed="false">
      <c r="A81" s="6" t="s">
        <v>319</v>
      </c>
      <c r="B81" s="6" t="s">
        <v>320</v>
      </c>
      <c r="C81" s="6" t="s">
        <v>321</v>
      </c>
      <c r="D81" s="6" t="s">
        <v>333</v>
      </c>
      <c r="E81" s="6" t="s">
        <v>17</v>
      </c>
      <c r="F81" s="6" t="s">
        <v>147</v>
      </c>
      <c r="G81" s="6" t="s">
        <v>122</v>
      </c>
      <c r="H81" s="6" t="s">
        <v>65</v>
      </c>
      <c r="I81" s="6" t="s">
        <v>148</v>
      </c>
      <c r="J81" s="6" t="s">
        <v>334</v>
      </c>
      <c r="K81" s="7" t="n">
        <v>46660</v>
      </c>
      <c r="L81" s="6" t="s">
        <v>68</v>
      </c>
      <c r="M81" s="7"/>
      <c r="N81" s="8" t="n">
        <f aca="false">IF(M81&lt;&gt;"",M81-Summary!$C$3,IF(K81="","",K81-Summary!$C$3))</f>
        <v>355</v>
      </c>
      <c r="O81" s="6" t="s">
        <v>4</v>
      </c>
      <c r="P81" s="6" t="s">
        <v>335</v>
      </c>
      <c r="Q81" s="6" t="s">
        <v>336</v>
      </c>
      <c r="R81" s="6" t="s">
        <v>337</v>
      </c>
      <c r="S81" s="6" t="s">
        <v>338</v>
      </c>
      <c r="T81" s="6" t="s">
        <v>89</v>
      </c>
      <c r="U81" s="6" t="s">
        <v>89</v>
      </c>
      <c r="V81" s="6" t="s">
        <v>89</v>
      </c>
      <c r="W81" s="6" t="s">
        <v>89</v>
      </c>
      <c r="X81" s="6" t="s">
        <v>89</v>
      </c>
      <c r="Y81" s="6" t="s">
        <v>339</v>
      </c>
      <c r="Z81" s="6" t="s">
        <v>128</v>
      </c>
      <c r="AA81" s="6" t="s">
        <v>194</v>
      </c>
    </row>
    <row r="82" customFormat="false" ht="43.25" hidden="false" customHeight="false" outlineLevel="0" collapsed="false">
      <c r="A82" s="6" t="s">
        <v>654</v>
      </c>
      <c r="B82" s="6" t="s">
        <v>655</v>
      </c>
      <c r="C82" s="6" t="s">
        <v>656</v>
      </c>
      <c r="D82" s="6" t="s">
        <v>657</v>
      </c>
      <c r="E82" s="6" t="s">
        <v>20</v>
      </c>
      <c r="F82" s="6" t="s">
        <v>147</v>
      </c>
      <c r="G82" s="6" t="s">
        <v>658</v>
      </c>
      <c r="H82" s="6" t="s">
        <v>65</v>
      </c>
      <c r="I82" s="6" t="s">
        <v>659</v>
      </c>
      <c r="J82" s="6" t="s">
        <v>660</v>
      </c>
      <c r="K82" s="7" t="n">
        <v>46660</v>
      </c>
      <c r="L82" s="6" t="s">
        <v>68</v>
      </c>
      <c r="M82" s="7"/>
      <c r="N82" s="8" t="n">
        <f aca="false">IF(M82&lt;&gt;"",M82-Summary!$C$3,IF(K82="","",K82-Summary!$C$3))</f>
        <v>355</v>
      </c>
      <c r="O82" s="6" t="s">
        <v>4</v>
      </c>
      <c r="P82" s="6" t="s">
        <v>89</v>
      </c>
      <c r="Q82" s="6" t="s">
        <v>110</v>
      </c>
      <c r="R82" s="6" t="s">
        <v>661</v>
      </c>
      <c r="S82" s="6" t="s">
        <v>662</v>
      </c>
      <c r="T82" s="6" t="s">
        <v>89</v>
      </c>
      <c r="U82" s="6" t="s">
        <v>663</v>
      </c>
      <c r="V82" s="6" t="s">
        <v>664</v>
      </c>
      <c r="W82" s="6" t="s">
        <v>89</v>
      </c>
      <c r="X82" s="6" t="s">
        <v>665</v>
      </c>
      <c r="Y82" s="6" t="s">
        <v>666</v>
      </c>
      <c r="Z82" s="6" t="s">
        <v>79</v>
      </c>
      <c r="AA82" s="6" t="s">
        <v>80</v>
      </c>
    </row>
    <row r="83" customFormat="false" ht="53.7" hidden="false" customHeight="false" outlineLevel="0" collapsed="false">
      <c r="A83" s="6" t="s">
        <v>654</v>
      </c>
      <c r="B83" s="6" t="s">
        <v>667</v>
      </c>
      <c r="C83" s="6" t="s">
        <v>634</v>
      </c>
      <c r="D83" s="6" t="s">
        <v>668</v>
      </c>
      <c r="E83" s="6" t="s">
        <v>19</v>
      </c>
      <c r="F83" s="6" t="s">
        <v>427</v>
      </c>
      <c r="G83" s="6" t="s">
        <v>658</v>
      </c>
      <c r="H83" s="6" t="s">
        <v>669</v>
      </c>
      <c r="I83" s="6" t="s">
        <v>670</v>
      </c>
      <c r="J83" s="6" t="s">
        <v>334</v>
      </c>
      <c r="K83" s="7" t="n">
        <v>46660</v>
      </c>
      <c r="L83" s="6" t="s">
        <v>68</v>
      </c>
      <c r="M83" s="7"/>
      <c r="N83" s="8" t="n">
        <f aca="false">IF(M83&lt;&gt;"",M83-Summary!$C$3,IF(K83="","",K83-Summary!$C$3))</f>
        <v>355</v>
      </c>
      <c r="O83" s="6" t="s">
        <v>4</v>
      </c>
      <c r="P83" s="6" t="s">
        <v>671</v>
      </c>
      <c r="Q83" s="6" t="s">
        <v>672</v>
      </c>
      <c r="R83" s="6" t="s">
        <v>673</v>
      </c>
      <c r="S83" s="6" t="s">
        <v>674</v>
      </c>
      <c r="T83" s="6" t="s">
        <v>675</v>
      </c>
      <c r="U83" s="6" t="s">
        <v>676</v>
      </c>
      <c r="V83" s="6" t="s">
        <v>677</v>
      </c>
      <c r="W83" s="6" t="s">
        <v>678</v>
      </c>
      <c r="X83" s="6" t="s">
        <v>679</v>
      </c>
      <c r="Y83" s="6" t="s">
        <v>680</v>
      </c>
      <c r="Z83" s="6" t="s">
        <v>79</v>
      </c>
      <c r="AA83" s="6" t="s">
        <v>80</v>
      </c>
    </row>
    <row r="84" customFormat="false" ht="53.7" hidden="false" customHeight="false" outlineLevel="0" collapsed="false">
      <c r="A84" s="6" t="s">
        <v>1021</v>
      </c>
      <c r="B84" s="6" t="s">
        <v>1036</v>
      </c>
      <c r="C84" s="6" t="s">
        <v>1037</v>
      </c>
      <c r="D84" s="6" t="s">
        <v>1038</v>
      </c>
      <c r="E84" s="6" t="s">
        <v>19</v>
      </c>
      <c r="F84" s="6" t="s">
        <v>224</v>
      </c>
      <c r="G84" s="6" t="s">
        <v>1039</v>
      </c>
      <c r="H84" s="6" t="s">
        <v>65</v>
      </c>
      <c r="I84" s="6" t="s">
        <v>622</v>
      </c>
      <c r="J84" s="6" t="s">
        <v>1040</v>
      </c>
      <c r="K84" s="7" t="n">
        <v>46660</v>
      </c>
      <c r="L84" s="6" t="s">
        <v>68</v>
      </c>
      <c r="M84" s="7"/>
      <c r="N84" s="8" t="n">
        <f aca="false">IF(M84&lt;&gt;"",M84-Summary!$C$3,IF(K84="","",K84-Summary!$C$3))</f>
        <v>355</v>
      </c>
      <c r="O84" s="6" t="s">
        <v>4</v>
      </c>
      <c r="P84" s="6" t="s">
        <v>1041</v>
      </c>
      <c r="Q84" s="6" t="s">
        <v>1042</v>
      </c>
      <c r="R84" s="6" t="s">
        <v>1043</v>
      </c>
      <c r="S84" s="6" t="s">
        <v>1044</v>
      </c>
      <c r="T84" s="6" t="s">
        <v>1045</v>
      </c>
      <c r="U84" s="6" t="s">
        <v>1046</v>
      </c>
      <c r="V84" s="6" t="s">
        <v>1047</v>
      </c>
      <c r="W84" s="6" t="s">
        <v>1048</v>
      </c>
      <c r="X84" s="6" t="s">
        <v>1049</v>
      </c>
      <c r="Y84" s="6" t="s">
        <v>1050</v>
      </c>
      <c r="Z84" s="6" t="s">
        <v>128</v>
      </c>
      <c r="AA84" s="6" t="s">
        <v>80</v>
      </c>
    </row>
    <row r="85" customFormat="false" ht="43.25" hidden="false" customHeight="false" outlineLevel="0" collapsed="false">
      <c r="A85" s="6" t="s">
        <v>1260</v>
      </c>
      <c r="B85" s="6" t="s">
        <v>1261</v>
      </c>
      <c r="C85" s="6" t="s">
        <v>1260</v>
      </c>
      <c r="D85" s="6" t="s">
        <v>1262</v>
      </c>
      <c r="E85" s="6" t="s">
        <v>17</v>
      </c>
      <c r="F85" s="6" t="s">
        <v>147</v>
      </c>
      <c r="G85" s="6" t="s">
        <v>122</v>
      </c>
      <c r="H85" s="6" t="s">
        <v>568</v>
      </c>
      <c r="I85" s="6" t="s">
        <v>1263</v>
      </c>
      <c r="J85" s="6" t="s">
        <v>1264</v>
      </c>
      <c r="K85" s="7" t="n">
        <v>45199</v>
      </c>
      <c r="L85" s="6" t="s">
        <v>68</v>
      </c>
      <c r="M85" s="7" t="n">
        <v>46660</v>
      </c>
      <c r="N85" s="8" t="n">
        <f aca="false">IF(M85&lt;&gt;"",M85-Summary!$C$3,IF(K85="","",K85-Summary!$C$3))</f>
        <v>355</v>
      </c>
      <c r="O85" s="6" t="s">
        <v>4</v>
      </c>
      <c r="P85" s="6" t="s">
        <v>1265</v>
      </c>
      <c r="Q85" s="6" t="s">
        <v>1266</v>
      </c>
      <c r="R85" s="6" t="s">
        <v>1267</v>
      </c>
      <c r="S85" s="6" t="s">
        <v>1268</v>
      </c>
      <c r="T85" s="6" t="s">
        <v>89</v>
      </c>
      <c r="U85" s="6" t="s">
        <v>1269</v>
      </c>
      <c r="V85" s="6" t="s">
        <v>89</v>
      </c>
      <c r="W85" s="6" t="s">
        <v>89</v>
      </c>
      <c r="X85" s="6" t="s">
        <v>89</v>
      </c>
      <c r="Y85" s="6" t="s">
        <v>1270</v>
      </c>
      <c r="Z85" s="6" t="s">
        <v>79</v>
      </c>
      <c r="AA85" s="6" t="s">
        <v>80</v>
      </c>
    </row>
    <row r="86" customFormat="false" ht="53.7" hidden="false" customHeight="false" outlineLevel="0" collapsed="false">
      <c r="A86" s="6" t="s">
        <v>1599</v>
      </c>
      <c r="B86" s="6" t="s">
        <v>1600</v>
      </c>
      <c r="C86" s="6" t="s">
        <v>1601</v>
      </c>
      <c r="D86" s="6" t="s">
        <v>1602</v>
      </c>
      <c r="E86" s="6" t="s">
        <v>17</v>
      </c>
      <c r="F86" s="6" t="s">
        <v>162</v>
      </c>
      <c r="G86" s="6" t="s">
        <v>1603</v>
      </c>
      <c r="H86" s="6" t="s">
        <v>65</v>
      </c>
      <c r="I86" s="6" t="s">
        <v>1014</v>
      </c>
      <c r="J86" s="6" t="s">
        <v>1604</v>
      </c>
      <c r="K86" s="7" t="n">
        <v>46660</v>
      </c>
      <c r="L86" s="6" t="s">
        <v>68</v>
      </c>
      <c r="M86" s="7"/>
      <c r="N86" s="8" t="n">
        <f aca="false">IF(M86&lt;&gt;"",M86-Summary!$C$3,IF(K86="","",K86-Summary!$C$3))</f>
        <v>355</v>
      </c>
      <c r="O86" s="6" t="s">
        <v>4</v>
      </c>
      <c r="P86" s="6" t="s">
        <v>1605</v>
      </c>
      <c r="Q86" s="6" t="s">
        <v>1606</v>
      </c>
      <c r="R86" s="6" t="s">
        <v>1607</v>
      </c>
      <c r="S86" s="6" t="s">
        <v>1608</v>
      </c>
      <c r="T86" s="6" t="s">
        <v>1609</v>
      </c>
      <c r="U86" s="6" t="s">
        <v>1610</v>
      </c>
      <c r="V86" s="6" t="s">
        <v>1611</v>
      </c>
      <c r="W86" s="6" t="s">
        <v>1612</v>
      </c>
      <c r="X86" s="6" t="s">
        <v>89</v>
      </c>
      <c r="Y86" s="6" t="s">
        <v>1613</v>
      </c>
      <c r="Z86" s="6" t="s">
        <v>79</v>
      </c>
      <c r="AA86" s="6" t="s">
        <v>80</v>
      </c>
    </row>
    <row r="87" customFormat="false" ht="53.7" hidden="false" customHeight="false" outlineLevel="0" collapsed="false">
      <c r="A87" s="6" t="s">
        <v>1599</v>
      </c>
      <c r="B87" s="6" t="s">
        <v>1614</v>
      </c>
      <c r="C87" s="6" t="s">
        <v>1615</v>
      </c>
      <c r="D87" s="6" t="s">
        <v>1616</v>
      </c>
      <c r="E87" s="6" t="s">
        <v>19</v>
      </c>
      <c r="F87" s="6" t="s">
        <v>162</v>
      </c>
      <c r="G87" s="6" t="s">
        <v>1617</v>
      </c>
      <c r="H87" s="6" t="s">
        <v>65</v>
      </c>
      <c r="I87" s="6" t="s">
        <v>1003</v>
      </c>
      <c r="J87" s="6" t="s">
        <v>1618</v>
      </c>
      <c r="K87" s="7" t="n">
        <v>46660</v>
      </c>
      <c r="L87" s="6" t="s">
        <v>68</v>
      </c>
      <c r="M87" s="7"/>
      <c r="N87" s="8" t="n">
        <f aca="false">IF(M87&lt;&gt;"",M87-Summary!$C$3,IF(K87="","",K87-Summary!$C$3))</f>
        <v>355</v>
      </c>
      <c r="O87" s="6" t="s">
        <v>4</v>
      </c>
      <c r="P87" s="6" t="s">
        <v>1619</v>
      </c>
      <c r="Q87" s="6" t="s">
        <v>1620</v>
      </c>
      <c r="R87" s="6" t="s">
        <v>882</v>
      </c>
      <c r="S87" s="6" t="s">
        <v>1621</v>
      </c>
      <c r="T87" s="6" t="s">
        <v>1622</v>
      </c>
      <c r="U87" s="6" t="s">
        <v>1623</v>
      </c>
      <c r="V87" s="6" t="s">
        <v>1624</v>
      </c>
      <c r="W87" s="6" t="s">
        <v>1625</v>
      </c>
      <c r="X87" s="6" t="s">
        <v>1626</v>
      </c>
      <c r="Y87" s="6" t="s">
        <v>1627</v>
      </c>
      <c r="Z87" s="6" t="s">
        <v>79</v>
      </c>
      <c r="AA87" s="6" t="s">
        <v>80</v>
      </c>
    </row>
    <row r="88" customFormat="false" ht="53.7" hidden="false" customHeight="false" outlineLevel="0" collapsed="false">
      <c r="A88" s="6" t="s">
        <v>1599</v>
      </c>
      <c r="B88" s="6" t="s">
        <v>1628</v>
      </c>
      <c r="C88" s="6" t="s">
        <v>1629</v>
      </c>
      <c r="D88" s="6" t="s">
        <v>1630</v>
      </c>
      <c r="E88" s="6" t="s">
        <v>19</v>
      </c>
      <c r="F88" s="6" t="s">
        <v>162</v>
      </c>
      <c r="G88" s="6" t="s">
        <v>958</v>
      </c>
      <c r="H88" s="6" t="s">
        <v>65</v>
      </c>
      <c r="I88" s="6" t="s">
        <v>1003</v>
      </c>
      <c r="J88" s="6" t="s">
        <v>1631</v>
      </c>
      <c r="K88" s="7" t="n">
        <v>46660</v>
      </c>
      <c r="L88" s="6" t="s">
        <v>68</v>
      </c>
      <c r="M88" s="7"/>
      <c r="N88" s="8" t="n">
        <f aca="false">IF(M88&lt;&gt;"",M88-Summary!$C$3,IF(K88="","",K88-Summary!$C$3))</f>
        <v>355</v>
      </c>
      <c r="O88" s="6" t="s">
        <v>4</v>
      </c>
      <c r="P88" s="6" t="s">
        <v>69</v>
      </c>
      <c r="Q88" s="6" t="s">
        <v>1632</v>
      </c>
      <c r="R88" s="6" t="s">
        <v>1633</v>
      </c>
      <c r="S88" s="6" t="s">
        <v>1634</v>
      </c>
      <c r="T88" s="6" t="s">
        <v>1635</v>
      </c>
      <c r="U88" s="6" t="s">
        <v>1636</v>
      </c>
      <c r="V88" s="6" t="s">
        <v>1637</v>
      </c>
      <c r="W88" s="6" t="s">
        <v>1638</v>
      </c>
      <c r="X88" s="6" t="s">
        <v>1639</v>
      </c>
      <c r="Y88" s="6" t="s">
        <v>1640</v>
      </c>
      <c r="Z88" s="6" t="s">
        <v>79</v>
      </c>
      <c r="AA88" s="6" t="s">
        <v>80</v>
      </c>
    </row>
    <row r="89" customFormat="false" ht="53.7" hidden="false" customHeight="false" outlineLevel="0" collapsed="false">
      <c r="A89" s="6" t="s">
        <v>1709</v>
      </c>
      <c r="B89" s="6" t="s">
        <v>1710</v>
      </c>
      <c r="C89" s="6" t="s">
        <v>1711</v>
      </c>
      <c r="D89" s="6" t="s">
        <v>1712</v>
      </c>
      <c r="E89" s="6" t="s">
        <v>19</v>
      </c>
      <c r="F89" s="6" t="s">
        <v>162</v>
      </c>
      <c r="G89" s="6" t="s">
        <v>1713</v>
      </c>
      <c r="H89" s="6" t="s">
        <v>65</v>
      </c>
      <c r="I89" s="6" t="s">
        <v>1003</v>
      </c>
      <c r="J89" s="6" t="s">
        <v>334</v>
      </c>
      <c r="K89" s="7" t="n">
        <v>46660</v>
      </c>
      <c r="L89" s="6" t="s">
        <v>68</v>
      </c>
      <c r="M89" s="7"/>
      <c r="N89" s="8" t="n">
        <f aca="false">IF(M89&lt;&gt;"",M89-Summary!$C$3,IF(K89="","",K89-Summary!$C$3))</f>
        <v>355</v>
      </c>
      <c r="O89" s="6" t="s">
        <v>4</v>
      </c>
      <c r="P89" s="6" t="s">
        <v>1714</v>
      </c>
      <c r="Q89" s="6" t="s">
        <v>1715</v>
      </c>
      <c r="R89" s="6" t="s">
        <v>1716</v>
      </c>
      <c r="S89" s="6" t="s">
        <v>1717</v>
      </c>
      <c r="T89" s="6" t="s">
        <v>1718</v>
      </c>
      <c r="U89" s="6" t="s">
        <v>1719</v>
      </c>
      <c r="V89" s="6" t="s">
        <v>1720</v>
      </c>
      <c r="W89" s="6" t="s">
        <v>1721</v>
      </c>
      <c r="X89" s="6" t="s">
        <v>1722</v>
      </c>
      <c r="Y89" s="6" t="s">
        <v>1723</v>
      </c>
      <c r="Z89" s="6" t="s">
        <v>79</v>
      </c>
      <c r="AA89" s="6" t="s">
        <v>80</v>
      </c>
    </row>
    <row r="90" customFormat="false" ht="43.25" hidden="false" customHeight="false" outlineLevel="0" collapsed="false">
      <c r="A90" s="6" t="s">
        <v>1724</v>
      </c>
      <c r="B90" s="6" t="s">
        <v>1725</v>
      </c>
      <c r="C90" s="6" t="s">
        <v>1726</v>
      </c>
      <c r="D90" s="6" t="s">
        <v>1727</v>
      </c>
      <c r="E90" s="6" t="s">
        <v>19</v>
      </c>
      <c r="F90" s="6" t="s">
        <v>162</v>
      </c>
      <c r="G90" s="6" t="s">
        <v>1728</v>
      </c>
      <c r="H90" s="6" t="s">
        <v>65</v>
      </c>
      <c r="I90" s="6" t="s">
        <v>854</v>
      </c>
      <c r="J90" s="6" t="s">
        <v>1729</v>
      </c>
      <c r="K90" s="7" t="n">
        <v>46660</v>
      </c>
      <c r="L90" s="6" t="s">
        <v>68</v>
      </c>
      <c r="M90" s="7"/>
      <c r="N90" s="8" t="n">
        <f aca="false">IF(M90&lt;&gt;"",M90-Summary!$C$3,IF(K90="","",K90-Summary!$C$3))</f>
        <v>355</v>
      </c>
      <c r="O90" s="6" t="s">
        <v>4</v>
      </c>
      <c r="P90" s="6" t="s">
        <v>1730</v>
      </c>
      <c r="Q90" s="6" t="s">
        <v>1715</v>
      </c>
      <c r="R90" s="6" t="s">
        <v>1716</v>
      </c>
      <c r="S90" s="6" t="s">
        <v>1731</v>
      </c>
      <c r="T90" s="6" t="s">
        <v>1732</v>
      </c>
      <c r="U90" s="6" t="s">
        <v>1733</v>
      </c>
      <c r="V90" s="6" t="s">
        <v>1734</v>
      </c>
      <c r="W90" s="6" t="s">
        <v>1735</v>
      </c>
      <c r="X90" s="6" t="s">
        <v>1736</v>
      </c>
      <c r="Y90" s="6" t="s">
        <v>1737</v>
      </c>
      <c r="Z90" s="6" t="s">
        <v>79</v>
      </c>
      <c r="AA90" s="6" t="s">
        <v>80</v>
      </c>
    </row>
    <row r="91" customFormat="false" ht="43.25" hidden="false" customHeight="false" outlineLevel="0" collapsed="false">
      <c r="A91" s="6" t="s">
        <v>591</v>
      </c>
      <c r="B91" s="6" t="s">
        <v>592</v>
      </c>
      <c r="C91" s="6" t="s">
        <v>591</v>
      </c>
      <c r="D91" s="6" t="s">
        <v>593</v>
      </c>
      <c r="E91" s="6" t="s">
        <v>21</v>
      </c>
      <c r="F91" s="6" t="s">
        <v>162</v>
      </c>
      <c r="G91" s="6" t="s">
        <v>594</v>
      </c>
      <c r="H91" s="6" t="s">
        <v>344</v>
      </c>
      <c r="I91" s="6" t="s">
        <v>595</v>
      </c>
      <c r="J91" s="6" t="s">
        <v>596</v>
      </c>
      <c r="K91" s="7" t="n">
        <v>44476</v>
      </c>
      <c r="L91" s="6" t="s">
        <v>68</v>
      </c>
      <c r="M91" s="7" t="n">
        <v>46667</v>
      </c>
      <c r="N91" s="8" t="n">
        <f aca="false">IF(M91&lt;&gt;"",M91-Summary!$C$3,IF(K91="","",K91-Summary!$C$3))</f>
        <v>362</v>
      </c>
      <c r="O91" s="6" t="s">
        <v>4</v>
      </c>
      <c r="P91" s="6" t="s">
        <v>69</v>
      </c>
      <c r="Q91" s="6" t="s">
        <v>556</v>
      </c>
      <c r="R91" s="6" t="s">
        <v>597</v>
      </c>
      <c r="S91" s="6" t="s">
        <v>598</v>
      </c>
      <c r="T91" s="6" t="s">
        <v>89</v>
      </c>
      <c r="U91" s="6" t="s">
        <v>599</v>
      </c>
      <c r="V91" s="6" t="s">
        <v>89</v>
      </c>
      <c r="W91" s="6" t="s">
        <v>600</v>
      </c>
      <c r="X91" s="6" t="s">
        <v>601</v>
      </c>
      <c r="Y91" s="6" t="s">
        <v>602</v>
      </c>
      <c r="Z91" s="6" t="s">
        <v>128</v>
      </c>
      <c r="AA91" s="6"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9" t="s">
        <v>3180</v>
      </c>
    </row>
    <row r="2" customFormat="false" ht="15" hidden="false" customHeight="false" outlineLevel="0" collapsed="false">
      <c r="A2" s="9" t="s">
        <v>3181</v>
      </c>
    </row>
    <row r="3" customFormat="false" ht="23.85" hidden="false" customHeight="false" outlineLevel="0" collapsed="false">
      <c r="A3" s="9" t="s">
        <v>3182</v>
      </c>
    </row>
    <row r="4" customFormat="false" ht="23.85" hidden="false" customHeight="false" outlineLevel="0" collapsed="false">
      <c r="A4" s="9" t="s">
        <v>3183</v>
      </c>
    </row>
    <row r="5" customFormat="false" ht="35.05" hidden="false" customHeight="false" outlineLevel="0" collapsed="false">
      <c r="A5" s="9" t="s">
        <v>3184</v>
      </c>
    </row>
    <row r="6" customFormat="false" ht="15" hidden="false" customHeight="false" outlineLevel="0" collapsed="false">
      <c r="A6" s="9" t="s">
        <v>3185</v>
      </c>
    </row>
    <row r="7" customFormat="false" ht="23.85" hidden="false" customHeight="false" outlineLevel="0" collapsed="false">
      <c r="A7" s="9" t="s">
        <v>3186</v>
      </c>
    </row>
    <row r="8" customFormat="false" ht="23.85" hidden="false" customHeight="false" outlineLevel="0" collapsed="false">
      <c r="A8" s="9" t="s">
        <v>3187</v>
      </c>
    </row>
    <row r="9" customFormat="false" ht="15" hidden="false" customHeight="false" outlineLevel="0" collapsed="false">
      <c r="A9" s="9" t="s">
        <v>3188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2026-10-10T18:24:41Z</dcterms:created>
  <dc:creator>openpyxl</dc:creator>
  <dc:description/>
  <dc:language>en-US</dc:language>
  <cp:lastModifiedBy/>
  <dcterms:modified xsi:type="dcterms:W3CDTF">2026-10-10T18:24:41Z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